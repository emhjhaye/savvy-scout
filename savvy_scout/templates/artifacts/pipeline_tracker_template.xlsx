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hccac-my.sharepoint.com/personal/mjdeleon_cmip_com_ph/Documents/Documents/Bidsavvy/"/>
    </mc:Choice>
  </mc:AlternateContent>
  <xr:revisionPtr revIDLastSave="28" documentId="11_438F5D24847A7DE3B8EBABF1ECE0BF90ED76ACD4" xr6:coauthVersionLast="47" xr6:coauthVersionMax="47" xr10:uidLastSave="{1A271CE4-9573-46AB-8CEC-86236DA152B9}"/>
  <bookViews>
    <workbookView xWindow="-110" yWindow="-110" windowWidth="19420" windowHeight="11500" tabRatio="500" activeTab="3" xr2:uid="{00000000-000D-0000-FFFF-FFFF00000000}"/>
  </bookViews>
  <sheets>
    <sheet name="Master Summary" sheetId="1" r:id="rId1"/>
    <sheet name="Understand the Spreadsheet" sheetId="2" r:id="rId2"/>
    <sheet name="Pass" sheetId="3" r:id="rId3"/>
    <sheet name="Flag" sheetId="4" r:id="rId4"/>
    <sheet name="Fail" sheetId="5" r:id="rId5"/>
    <sheet name="How to Use" sheetId="6" r:id="rId6"/>
    <sheet name="Pass to Kanvesh" sheetId="7" r:id="rId7"/>
    <sheet name="Pass to NHS" sheetId="8" r:id="rId8"/>
    <sheet name="Sheet1" sheetId="9" r:id="rId9"/>
  </sheets>
  <definedNames>
    <definedName name="_xlnm._FilterDatabase" localSheetId="3" hidden="1">Flag!$A$2:$S$15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 l="1"/>
  <c r="B13" i="1"/>
  <c r="B12" i="1"/>
  <c r="B11" i="1"/>
  <c r="B10" i="1"/>
  <c r="B8" i="1"/>
  <c r="B7" i="1"/>
  <c r="B6" i="1"/>
  <c r="B5" i="1"/>
  <c r="B4" i="1"/>
  <c r="B9" i="1" s="1"/>
</calcChain>
</file>

<file path=xl/sharedStrings.xml><?xml version="1.0" encoding="utf-8"?>
<sst xmlns="http://schemas.openxmlformats.org/spreadsheetml/2006/main" count="878" uniqueCount="486">
  <si>
    <t>MY PIPELINE — FLAG, NEEDS VICTORIA DECISION</t>
  </si>
  <si>
    <t>REF #</t>
  </si>
  <si>
    <t>DATE SPOTTED</t>
  </si>
  <si>
    <t>OPPORTUNITY TITLE</t>
  </si>
  <si>
    <t>BUYER</t>
  </si>
  <si>
    <t>BUYER TYPE</t>
  </si>
  <si>
    <t>SECTOR</t>
  </si>
  <si>
    <t>SOURCE</t>
  </si>
  <si>
    <t>NOTICE TYPE</t>
  </si>
  <si>
    <t>INDICATIVE VALUE</t>
  </si>
  <si>
    <t>CPV CODES</t>
  </si>
  <si>
    <t>SUBMISSION/ENGAGEMENT DEADLINE</t>
  </si>
  <si>
    <t>TRIAGE STATUS</t>
  </si>
  <si>
    <t>CAPABILITY FIT</t>
  </si>
  <si>
    <t>FRAMEWORK STATUS</t>
  </si>
  <si>
    <t>FILTER FLAGS (1/2/3)</t>
  </si>
  <si>
    <t>REASON / NOTES</t>
  </si>
  <si>
    <t>NEXT ACTION</t>
  </si>
  <si>
    <t>NEXT ACTION DATE</t>
  </si>
  <si>
    <t>OPEN FLAGS FOR VICTORIA</t>
  </si>
  <si>
    <t>N034</t>
  </si>
  <si>
    <t>20/07/2026</t>
  </si>
  <si>
    <t>Group ERP</t>
  </si>
  <si>
    <t>Transport for Greater Manchester</t>
  </si>
  <si>
    <t>Combined authority transport body</t>
  </si>
  <si>
    <t>Rail and Transport</t>
  </si>
  <si>
    <t>Find a Tender</t>
  </si>
  <si>
    <t>UK2 PME</t>
  </si>
  <si>
    <t>£0 (not yet estimated)</t>
  </si>
  <si>
    <t>72200000</t>
  </si>
  <si>
    <t>01/10/2026</t>
  </si>
  <si>
    <t>FLAG</t>
  </si>
  <si>
    <t>MED: notice leaves approach open, but ERP is a packaged-product market and Trifork has no ERP product; credible role is integration and delivery partner, not ERP vendor</t>
  </si>
  <si>
    <t>Route not yet decided</t>
  </si>
  <si>
    <t>Clean</t>
  </si>
  <si>
    <t>Within Trifork capability as an INTEGRATION AND DELIVERY PARTNER, 1. Design of software + 2. Build of software, not as an ERP vendor. Notice states explicitly it should not be interpreted as a commitment to any specific solution, value, vendor or delivery approach, and the sole CPV is 72200000 (software programming and consultancy services), a services code, which supports an integration-partner route. Genuine Trifork-relevant work: integration and data harmonisation across four organisations with distinct statutory responsibilities (GMCA, GMFRS, TfGM, and GMP as strategic partner), migration from end-of-life SAP, and platform engineering. HONEST LIMIT: ERP is a mature packaged-product market (SAP, Oracle, Workday, Unit4) and Trifork does not sell an ERP product, so Trifork cannot be the platform vendor. CORRECTED 06/08/2026: downgraded from HIGH to MED on that basis; rating HIGH implied Trifork could supply the ERP itself, which is not the case.</t>
  </si>
  <si>
    <t>Respond to RFI via ProContract (ref DN817489) by 17/08/2026.</t>
  </si>
  <si>
    <t>17/08/2026</t>
  </si>
  <si>
    <t>N035</t>
  </si>
  <si>
    <t>16/07/2026</t>
  </si>
  <si>
    <t>Network Rail National Risk Assessment Redesign</t>
  </si>
  <si>
    <t>Network Rail Infrastructure Limited</t>
  </si>
  <si>
    <t>Rail infrastructure body</t>
  </si>
  <si>
    <t>£0</t>
  </si>
  <si>
    <t>48100000;48000000;72000000</t>
  </si>
  <si>
    <t>31/08/2026</t>
  </si>
  <si>
    <t>MED: unclear, buyer is surveying market maturity, product CPVs present</t>
  </si>
  <si>
    <t>Filter 2 (critical national infrastructure operator, UK clearance not confirmed)</t>
  </si>
  <si>
    <t>Genuinely UNCLEAR between 2. Build of software and a packaged product purchase. Real requirement (digital risk assessment platform replacing a system with 650-700 assessments and 300 users, integration to be tested), but Network Rail states the objectives are to ‘understand the maturity of systems available within the market’ and ‘identify potential suppliers capable of delivering a modern risk assessment management platform’, which reads as evaluating existing systems. CPVs 48100000 (industry specific software package) and 48000000 (software package) are product codes. CORRECTED 06/08/2026: previously rated MEDIUM as a clean build fit; that was too confident.</t>
  </si>
  <si>
    <t>Register on BravoNR; monitor for future tender (RAMS Replacement).</t>
  </si>
  <si>
    <t>N037</t>
  </si>
  <si>
    <t>17/07/2026</t>
  </si>
  <si>
    <t>ERP Build and Implementation, and Associated Planning and Reporting Tools</t>
  </si>
  <si>
    <t>International Nuclear Services Limited</t>
  </si>
  <si>
    <t>Public authority, sub-central government</t>
  </si>
  <si>
    <t>Energy</t>
  </si>
  <si>
    <t>UK2 PME (RFI)</t>
  </si>
  <si>
    <t>£1,500,000 excl VAT (£1,800,000 incl VAT)</t>
  </si>
  <si>
    <t>48442000;72212451;48451000</t>
  </si>
  <si>
    <t>03/08/2026</t>
  </si>
  <si>
    <t>MONITOR</t>
  </si>
  <si>
    <t>MED: unclear, provide-implement-support language plus ERP product CPVs</t>
  </si>
  <si>
    <t>Filter 2 (nuclear sector buyer, UK clearance not confirmed)</t>
  </si>
  <si>
    <t>Genuinely UNCLEAR between 2. Build of software and a packaged product purchase. RFI seeks to understand market capability to ‘provide, implement and support an ERP system’, and CPVs include 48442000 (financial systems software package) and 48451000 (ERP software package), both product codes, alongside 72212451 (ERP software development services). Provide-implement-support language leans toward a product. Engagement window closed 03/08/2026 without action; watch for the tender notice estimated 01/10/2026.</t>
  </si>
  <si>
    <t>Watch for future tender notice</t>
  </si>
  <si>
    <t>N038</t>
  </si>
  <si>
    <t>Passenger Transport Booking App - Market Engagement</t>
  </si>
  <si>
    <t>Milton Keynes City Council</t>
  </si>
  <si>
    <t>Combined authority / council</t>
  </si>
  <si>
    <t>Rail and Transport (buyer boundary)</t>
  </si>
  <si>
    <t>48000000;72200000</t>
  </si>
  <si>
    <t>MED: unclear, asks about suppliers’ own products, software-package CPV present</t>
  </si>
  <si>
    <t>Filter 1 (buyer boundary: council, confirm exclusion list applies)</t>
  </si>
  <si>
    <t>Genuinely UNCLEAR between 2. Build of software and a packaged product purchase. Genuine build-type scope (booking, ticketing and MaaS platform, integration with autonomous shuttle services, data and analytics), and MKCC is asking openly about capabilities rather than naming a product. But the notice asks suppliers to share information on ‘their products’, and CPV 48000000 (software package) is present, so an off-the-shelf MaaS platform route is not excluded. Buyer boundary also unresolved (council).</t>
  </si>
  <si>
    <t>Hold for Victoria buyer-boundary ruling before responding via InTend portal.</t>
  </si>
  <si>
    <t>N041</t>
  </si>
  <si>
    <t>03/07/2026</t>
  </si>
  <si>
    <t>Preliminary Market Engagement - CfD Settlement Services Platform</t>
  </si>
  <si>
    <t>Low Carbon Contracts Company Ltd</t>
  </si>
  <si>
    <t>Public authority, central government</t>
  </si>
  <si>
    <t>72220000;72225000</t>
  </si>
  <si>
    <t>14/08/2026</t>
  </si>
  <si>
    <t>HIGH: solution open, services-only CPVs, exploring feasibility</t>
  </si>
  <si>
    <t>Filter 2 (central government, national energy settlement infrastructure, UK clearance not confirmed)</t>
  </si>
  <si>
    <t>Within Trifork's capability, 2. Build of software + 3. Data and AI work. Settlement calculations, reconciliation, billing, payment processing, reporting, data collection and validation, system integration for a growing CfD portfolio. CPVs are services-only (72220000, 72225000), no packaged-product code anywhere. LCCC explicitly exploring feasibility and delivery models, nothing committed. Solution genuinely open. Strongest capability match in the pipeline.</t>
  </si>
  <si>
    <t>Register on Delta e-Sourcing portal (lccc.delta-esourcing.com) and complete questionnaire by 12 noon 14/08/2026. Priority scope read and escalation candidate.</t>
  </si>
  <si>
    <t>N043</t>
  </si>
  <si>
    <t>07/07/2026</t>
  </si>
  <si>
    <t>GBRX UDM Innovation and Technology</t>
  </si>
  <si>
    <t>72000000;73000000;48000000;72200000;72230000;72260000;72300000;72316000;72322000;30200000;73100000;73200000;73300000;73420000;72262000;32000000</t>
  </si>
  <si>
    <t>30/09/2026</t>
  </si>
  <si>
    <t>N/A: not a specific opportunity yet, open marketplace only</t>
  </si>
  <si>
    <t>Not yet a specific opportunity, so no capability assessment is possible. GBRX UDM is an open marketplace (Utilities Dynamic Market) Network Rail is establishing for future rail innovation and technology requirements, covering AI, computer vision, data science and train control. Nothing to score until actual requirements are issued through it. Engagement window closed 30/09/2026; watch for tenders published via the platform.</t>
  </si>
  <si>
    <t>N058</t>
  </si>
  <si>
    <t>21/07/2026</t>
  </si>
  <si>
    <t>Chiltern Railways - Compass System Replacement</t>
  </si>
  <si>
    <t>The Chiltern Railway Company Limited</t>
  </si>
  <si>
    <t>Train operating company</t>
  </si>
  <si>
    <t>UNVERIFIED</t>
  </si>
  <si>
    <t>48000000;72222300;72250000;72263000</t>
  </si>
  <si>
    <t>MED: unclear, implementation and support CPVs alongside real integration content</t>
  </si>
  <si>
    <t>Genuinely UNCLEAR between 2. Build of software and a packaged product purchase. Real integration content, live TRUST data feed from Network Rail, and Chiltern is still deciding between a single solution, separate modules, or specialist integrated systems. But CPVs include 48000000 (software package), 72250000 (system and support services) and 72263000 (software implementation services), which point toward implementing an existing system rather than building one. CORRECTED 06/08/2026: previously rated HIGH with ‘no packaged-product signals’, which was inaccurate, the packaged-software CPV is present.</t>
  </si>
  <si>
    <t>Email Frank.Molloy@chilternrailways.co.uk to request Market Dojo access.</t>
  </si>
  <si>
    <t>N059</t>
  </si>
  <si>
    <t>27/07/2026</t>
  </si>
  <si>
    <t>CHILTERN RAILWAYS - Train Planning &amp; Rostering System Replacement</t>
  </si>
  <si>
    <t>48000000;72250000;72263000</t>
  </si>
  <si>
    <t>21/08/2026</t>
  </si>
  <si>
    <t>MED: unclear, same CPV profile and buyer pattern as N058 (48xxx software package plus implementation services)</t>
  </si>
  <si>
    <t>Genuinely UNCLEAR between 2. Build of software and a packaged product purchase. Chiltern is testing whether its own draft Train Planning and Rostering requirements are ‘clear, complete and feasible within the current market’ and seeking indicative pricing models, which is genuinely exploratory. BUT the CPV profile (48000000 software package, 72250000 system and support services, 72263000 software implementation services) is near-identical to N058 Compass Replacement from the same buyer, where the notice explicitly anticipates a hosted or SaaS solution. CORRECTED 06/08/2026: downgraded from HIGH to MED for consistency with N058. Rating the two differently on near-identical evidence was not defensible.</t>
  </si>
  <si>
    <t>N060</t>
  </si>
  <si>
    <t>24/07/2026</t>
  </si>
  <si>
    <t>Control Centre IMS</t>
  </si>
  <si>
    <t>West Yorkshire Combined Authority</t>
  </si>
  <si>
    <t>Combined authority (buyer boundary)</t>
  </si>
  <si>
    <t>£600,000 incl VAT</t>
  </si>
  <si>
    <t>72000000;34000000;48612000;72200000</t>
  </si>
  <si>
    <t>10/08/2026</t>
  </si>
  <si>
    <t>MED: unclear, delivery models open but surveying market capability, database-product CPV</t>
  </si>
  <si>
    <t>Filter 1 (buyer boundary: combined authority, confirm exclusion list applies)</t>
  </si>
  <si>
    <t>Genuinely UNCLEAR between 2. Build of software and a packaged product purchase. Genuine early-stage PME for a Bus Control Centre incident management platform, and WYCA is explicitly asking about ‘typical delivery models and integration approaches’, which leaves the approach open. But it is also asking about ‘market capability across the functional areas’ and time to implement, which reads as surveying existing systems. CPV 48612000 (database-management system) is a product code. Buyer boundary also unresolved (combined authority).</t>
  </si>
  <si>
    <t>Respond via linked eu-supply portal.</t>
  </si>
  <si>
    <t>N061</t>
  </si>
  <si>
    <t>Managing and Monitoring Multi-Tier Supplier Risk</t>
  </si>
  <si>
    <t>Cadent Gas Limited</t>
  </si>
  <si>
    <t>Private utility</t>
  </si>
  <si>
    <t>48781000;48783000;72250000;72260000</t>
  </si>
  <si>
    <t>MED: unclear, notice says "solution AND/OR MANAGED SERVICE", both 48xxx CPVs are software-package codes, pricing asks for licences</t>
  </si>
  <si>
    <t>Filter 2 (gas critical infrastructure, UK clearance not confirmed)</t>
  </si>
  <si>
    <t>Genuinely UNCLEAR between 2. Build of software and a packaged product or managed service purchase. Real integration requirement (SAP Ariba Risk via APIs, connectors or data feeds) and a detailed 10-question RFI. BUT: the notice opens by seeking a ‘supplier risk management solution and/or managed service’, managed service being a disqualified type; both 48xxx CPVs are packaged-software codes (48781000 system management software package, 48783000 content management software package); Q10 asks for pricing ‘including any licences’; and Q9 asks for ‘examples of relevant experience delivering similar supplier risk management solutions’, which asks for an existing product track record. CORRECTED 06/08/2026: previously rated HIGH on the basis of ‘no product demo, RFI focused on architecture’. Verification against the full notice shows that was wrong, the packaged-product and managed-service signals are explicit. This should not be briefed as a confident build fit.</t>
  </si>
  <si>
    <t>Email box.ITandCorporateServicestenders@cadentgas.com for RFI template.</t>
  </si>
  <si>
    <t>N062</t>
  </si>
  <si>
    <t>31/07/2026</t>
  </si>
  <si>
    <t>GWR - Train Planning System</t>
  </si>
  <si>
    <t>First Greater Western Limited</t>
  </si>
  <si>
    <t>UK4 tender</t>
  </si>
  <si>
    <t>£3,000,000 excl VAT</t>
  </si>
  <si>
    <t>48100000</t>
  </si>
  <si>
    <t>28/08/2026</t>
  </si>
  <si>
    <t>MED: unclear, Goods category, sole product CPV, supplier demonstration stage</t>
  </si>
  <si>
    <t>Genuinely UNCLEAR between 2. Build of software and a packaged product purchase. Real integration narrative (replicate and improve current functionality, integrate with rostering and control platforms), but procurement category is Goods, sole CPV is 48100000 (industry specific software package), and the process ends in a Supplier Demonstration of Proposed Solution, all of which imply an existing product.</t>
  </si>
  <si>
    <t>Register via linked Wax Digital portal if pursuing; needs the actual requirements documents to resolve type gate.</t>
  </si>
  <si>
    <t>N063</t>
  </si>
  <si>
    <t>23/07/2026</t>
  </si>
  <si>
    <t>Bus Contract Management System (Bus CMS)</t>
  </si>
  <si>
    <t>Transport for Wales</t>
  </si>
  <si>
    <t>£2,150,000 excl VAT</t>
  </si>
  <si>
    <t>MED: unclear, Goods category, product CPV, licence-based user model</t>
  </si>
  <si>
    <t>Genuinely UNCLEAR between 2. Build of software and a packaged product purchase. Real platform substance (contract register, performance management module, payment calculator, operator portal, up to 7 integrations, 150+ licensed users), but procurement category is Goods and CPV 48000000 (software package) is present. Licence-based user model also points toward a product.</t>
  </si>
  <si>
    <t>Register on TfW Atamis portal, code C0197, if pursuing; needs clarity on build vs packaged product.</t>
  </si>
  <si>
    <t>N064</t>
  </si>
  <si>
    <t>DDaT26425 - Zone Shape Management Tool (ZSSMT)</t>
  </si>
  <si>
    <t>Department for Energy Security &amp; Net Zero</t>
  </si>
  <si>
    <t>Central government department</t>
  </si>
  <si>
    <t>£770,000 excl VAT</t>
  </si>
  <si>
    <t>71351220;72220000</t>
  </si>
  <si>
    <t>LOW: notice too thin to assess, route to market explicitly undecided</t>
  </si>
  <si>
    <t>Filter 2 (central government, UK clearance not confirmed)</t>
  </si>
  <si>
    <t>Genuinely UNCLEAR, insufficient information to assess. Notice is very thin, DESNZ states the route to market is explicitly undecided and is simply asking what is ‘available in general’. Unusual CPV pairing, 71351220 (geological consultancy services) with 72220000 (systems and technical consultancy), suggests a specialist geological mapping or modelling tool rather than a general platform. Requesting the EOI Specification Document from ddatprocurement@uksbs.co.uk would settle this. Small value (£770k excl VAT).</t>
  </si>
  <si>
    <t>Request the EOI Specification Document from ddatprocurement@uksbs.co.uk before deciding further.</t>
  </si>
  <si>
    <t>MY TRIFORK PIPELINE — MASTER SUMMARY</t>
  </si>
  <si>
    <t>METRIC</t>
  </si>
  <si>
    <t>COUNT</t>
  </si>
  <si>
    <t>NOTES</t>
  </si>
  <si>
    <t>Pass tab total</t>
  </si>
  <si>
    <t>All notices clearing buyer scope and CPV plausibility</t>
  </si>
  <si>
    <t>Flag tab total</t>
  </si>
  <si>
    <t>Ambiguous buyer scope or capability, needs Victoria decision</t>
  </si>
  <si>
    <t>Pass to Kanvesh total</t>
  </si>
  <si>
    <t>Central and Local Government handoff</t>
  </si>
  <si>
    <t>Pass to NHS total</t>
  </si>
  <si>
    <t>NHS, currently unowned, hold for Victoria</t>
  </si>
  <si>
    <t>Fail tab total</t>
  </si>
  <si>
    <t>Out of scope or capability mismatch, parked</t>
  </si>
  <si>
    <t>Total notices triaged</t>
  </si>
  <si>
    <t>HIGH capability fit (Pass)</t>
  </si>
  <si>
    <t>MED capability fit (Pass)</t>
  </si>
  <si>
    <t>LOW capability fit (Pass)</t>
  </si>
  <si>
    <t>Framework call-off BLOCKED</t>
  </si>
  <si>
    <t>Confirm route before any capture work</t>
  </si>
  <si>
    <t>Open flags for Victoria</t>
  </si>
  <si>
    <t>Rows in Flag tab with a real open question written</t>
  </si>
  <si>
    <t>Last re-triage date:</t>
  </si>
  <si>
    <t>[fill in]</t>
  </si>
  <si>
    <t>Sectors covered:</t>
  </si>
  <si>
    <t>Fintech, Aviation (airlines only), Rail &amp; Transport, Energy</t>
  </si>
  <si>
    <t>Own pipeline tracker | Sectors: Fintech, Aviation (airlines), Rail &amp; Transport, Energy | Modeled on Kanvesh's Trifork_UK_Pipeline v2 structure</t>
  </si>
  <si>
    <t>MY TRIFORK PIPELINE — QUICK KEY</t>
  </si>
  <si>
    <t>TERM</t>
  </si>
  <si>
    <t>WHAT IT MEANS</t>
  </si>
  <si>
    <t>PASS = worth pursuing. FLAG = ambiguous, needs a decision from Victoria. PASS TO KANVESH/MADDY = Rail or Aviation notice that's actually their side of the sector split (confirm the exact rule with Victoria first). FAIL = out of scope or wrong category.</t>
  </si>
  <si>
    <t>The make-or-break column. Direct Procurement = anyone can bid, safe. Framework Entry Bid = bidding to join a framework, fine and encouraged right now. Framework Call-off (BLOCKED) = only suppliers already on a named framework can win this, and Trifork isn't on any UK framework yet, so this is a hard stop regardless of fit. Unconfirmed = need to check the actual notice.</t>
  </si>
  <si>
    <t>The test: does the notice leave the solution genuinely OPEN (so a build is on the table), or does it signal the buyer is EVALUATING and IMPLEMENTING existing market products? HIGH = notice explicitly leaves solution, vendor and delivery approach open; services-type CPV codes; no product demonstration stage; buyer is exploring feasibility rather than surveying vendors. A Trifork build is genuinely possible. MED = genuinely UNCLEAR. Real build content is present, but the notice also carries packaged-software CPV codes (48xxx), or product-evaluation language, or a supplier demonstration stage, or a licence-based user model. Cannot be called either way from the notice alone; needs the actual requirements documents. LOW = insufficient information in the notice to assess at all, or no plausible match to any of Trifork's six capabilities. N/A = not a specific opportunity yet (e.g. an open marketplace or dynamic market), so nothing to score. This is judgement, not fact. Push back if you disagree.</t>
  </si>
  <si>
    <t>Filter 1 = wrong market category for my sectors (confirm my own exclusion list as real notices come in — Kanvesh's list is calibrated to his sectors, not mine). Filter 2 = needs UK security clearance Trifork doesn't have confirmed yet. Filter 3 = extremely large-scale, dominated by big System Integrator primes Trifork can't compete with at that scale. "Clean" = none of these apply.</t>
  </si>
  <si>
    <t>VERIFIED vs INFERRED (CPV codes)</t>
  </si>
  <si>
    <t>Verified = proven against a real notice in my sectors before. Inferred = a reasonable mapping, not yet proven — proceed but flag it as inferred. My CPV list starts empty and builds as real notices confirm codes.</t>
  </si>
  <si>
    <t>NO VALUE THRESHOLD</t>
  </si>
  <si>
    <t>Confirmed by Victoria: smaller contracts are fine and wanted while Trifork has no UK track record yet. Value is shown for reference only — never a reason to fail something, unless Victoria states an explicit threshold with a date.</t>
  </si>
  <si>
    <t>FLAG / CONFIRM / UNRESOLVED</t>
  </si>
  <si>
    <t>Anything marked this way is not settled. It needs a real decision from Victoria before moving forward — do not let it drift into a brief unresolved.</t>
  </si>
  <si>
    <t>RAIL &amp; AVIATION OVERLAP</t>
  </si>
  <si>
    <t>Rail &amp; Transport also sits with Kanvesh (cultivation only, no live bids, per his skill). Aviation airports side sits with Maddy. Confirm the exact handoff rule with Victoria before assuming either overlap is resolved — until then, log anything ambiguous as FLAG, not a silent pass or fail.</t>
  </si>
  <si>
    <t>MY PIPELINE — PASS</t>
  </si>
  <si>
    <t>MY PIPELINE — FAIL, OUT OF SCOPE / DISQUALIFIED</t>
  </si>
  <si>
    <t>N046</t>
  </si>
  <si>
    <t>EV Charging Infrastructure</t>
  </si>
  <si>
    <t>National Grid UK Limited</t>
  </si>
  <si>
    <t>Transmission operator</t>
  </si>
  <si>
    <t>UK3 planned procurement</t>
  </si>
  <si>
    <t>Not stated (3 lots)</t>
  </si>
  <si>
    <t>31158000;48000000;51100000</t>
  </si>
  <si>
    <t>08/09/2026</t>
  </si>
  <si>
    <t>FAIL</t>
  </si>
  <si>
    <t>LOW: hardware supply, installation and managed operations, not software</t>
  </si>
  <si>
    <t>N/A</t>
  </si>
  <si>
    <t>Not within Trifork's build capability: hardware and managed operations. Predominantly hardware supply, civils, installation of chargers plus back-office managed operations (SIM connectivity, RFID, payment collection, remote support, on-site maintenance).</t>
  </si>
  <si>
    <t>Confirmed fail on type.</t>
  </si>
  <si>
    <t>N047</t>
  </si>
  <si>
    <t>15/07/2026</t>
  </si>
  <si>
    <t>Infrastructure Monitoring - Overhead Line Equipment on In-Service Vehicles (Dynamic OLE Data)</t>
  </si>
  <si>
    <t>£25,000,000 excl VAT (£30,000,000 incl VAT)</t>
  </si>
  <si>
    <t>71631470;71700000;34600000;72228000;72300000</t>
  </si>
  <si>
    <t>LOW: physical sensor equipment on trains, not a software platform</t>
  </si>
  <si>
    <t>Not within Trifork's build capability: hardware / physical sensor equipment. Designing, building, operating and maintaining physical sensor hardware fitted to trains, plus data transmission. Deliverable is sensor equipment, not a software platform.</t>
  </si>
  <si>
    <t>N048</t>
  </si>
  <si>
    <t>Power Platform Application Support and Development</t>
  </si>
  <si>
    <t>Office of Rail and Road</t>
  </si>
  <si>
    <t>£144,000 excl VAT (£172,800 incl VAT)</t>
  </si>
  <si>
    <t>72000000</t>
  </si>
  <si>
    <t>12/08/2026</t>
  </si>
  <si>
    <t>LOW: support and maintenance of apps Trifork did not build</t>
  </si>
  <si>
    <t>Not within Trifork's build capability: run-and-maintain of an existing system Trifork did not build. Consolidating existing support arrangements for live, already-built in-house apps: maintain continuity, manage defects, deliver controlled enhancements. Support and maintenance of someone else’s system, not a build.</t>
  </si>
  <si>
    <t>N049</t>
  </si>
  <si>
    <t>13/07/2026</t>
  </si>
  <si>
    <t>Revenue Protection Back Office</t>
  </si>
  <si>
    <t>Transport for Wales Rail Limited</t>
  </si>
  <si>
    <t>Public authority, sub-central government (utility buyer)</t>
  </si>
  <si>
    <t>£1,220,000 excl VAT (£1,464,000 incl VAT)</t>
  </si>
  <si>
    <t>LOW: managed service plus packaged software CPV</t>
  </si>
  <si>
    <t>Not within Trifork's build capability: managed service + packaged software. Managed service integrating back-office operations with a technology platform. Category Goods, CPV is an industry-specific software package, not custom development.</t>
  </si>
  <si>
    <t>N050</t>
  </si>
  <si>
    <t>06/07/2026</t>
  </si>
  <si>
    <t>Strategic IT Services Framework</t>
  </si>
  <si>
    <t>Portsmouth Water Limited</t>
  </si>
  <si>
    <t>Private utility (buyer boundary)</t>
  </si>
  <si>
    <t>Energy (buyer boundary)</t>
  </si>
  <si>
    <t>UK4 tender (open framework)</t>
  </si>
  <si>
    <t>£40,000,000 excl VAT (£48,000,000 incl VAT)</t>
  </si>
  <si>
    <t>04/08/2026</t>
  </si>
  <si>
    <t>LOW: advisory and capability augmentation across all five lots</t>
  </si>
  <si>
    <t>Filter 1 (buyer boundary: private water utility, confirm exclusion list applies)</t>
  </si>
  <si>
    <t>Not within Trifork's build capability: advisory-only. Every one of the five lots is described as advisory and delivery capability: strategy roadmaps, governance, cyber advisory, one described literally as a ‘one stop shop’. Capability augmentation, not a defined build.</t>
  </si>
  <si>
    <t>N051</t>
  </si>
  <si>
    <t>01/06/2026</t>
  </si>
  <si>
    <t>Energy Budget &amp; Billing Validation System</t>
  </si>
  <si>
    <t>Thames Water Utilities Limited</t>
  </si>
  <si>
    <t>£500,000 excl VAT (£600,000 incl VAT)</t>
  </si>
  <si>
    <t>50330000;72260000</t>
  </si>
  <si>
    <t>LOW: buy-and-implement an existing solution</t>
  </si>
  <si>
    <t>Not within Trifork's build capability: packaged product purchase. Buy-and-implement pattern: seeking a supplier with proven experience and an existing solution, not commissioning new development.</t>
  </si>
  <si>
    <t>N052</t>
  </si>
  <si>
    <t>11/05/2026</t>
  </si>
  <si>
    <t>Electricity and Ancillary Services (1337)</t>
  </si>
  <si>
    <t>Yorkshire Purchasing Organisation</t>
  </si>
  <si>
    <t>Public sector purchasing consortium (buyer boundary)</t>
  </si>
  <si>
    <t>£3,000,000,000 excl VAT (£3,600,000,000 incl VAT)</t>
  </si>
  <si>
    <t>09000000;72000000;71314000;66000000;72222300</t>
  </si>
  <si>
    <t>LOW: electricity retail framework, software incidental to the deliverable</t>
  </si>
  <si>
    <t>Filter 1 (buyer boundary: purchasing consortium) + Filter 3 (£3.6bn, dominated by large-scale SI primes)</t>
  </si>
  <si>
    <t>Not within Trifork's build capability: commercial retail framework, software incidental. Fundamentally a compliant electricity retail framework: trading, billing terms, tariffs, PPAs. Digital and AI capability is one engagement topic among many, not the actual deliverable.</t>
  </si>
  <si>
    <t>N053</t>
  </si>
  <si>
    <t>13/05/2026</t>
  </si>
  <si>
    <t>Service Quality Standards - Lot 1 and Lot 2</t>
  </si>
  <si>
    <t>SE Trains Limited</t>
  </si>
  <si>
    <t>£1,032,000 excl VAT (£1,238,499 incl VAT)</t>
  </si>
  <si>
    <t>72225000</t>
  </si>
  <si>
    <t>29/07/2026</t>
  </si>
  <si>
    <t>LOW: physical audit service, app is a minor supporting layer</t>
  </si>
  <si>
    <t>Not within Trifork's build capability: service-led, physical audit with a supporting app. A physical audit and inspection service with a supporting app bundled in. The technology is a minor supporting layer to a people-based service, not the contract itself.</t>
  </si>
  <si>
    <t>N054</t>
  </si>
  <si>
    <t>29/06/2026</t>
  </si>
  <si>
    <t>Service Quality Inspections and System</t>
  </si>
  <si>
    <t>GA Trains Limited</t>
  </si>
  <si>
    <t>£550,000 excl VAT (£660,000 incl VAT)</t>
  </si>
  <si>
    <t>48000000;71630000;72222300;72225000;72250000;72316000;79212000;79311200</t>
  </si>
  <si>
    <t>30/07/2026</t>
  </si>
  <si>
    <t>Not within Trifork's build capability: service-led, physical audit with a supporting app. Same pattern: an independent audit programme with a supporting technology-enabled capture and reporting tool bundled in. Technology is a minor supporting layer.</t>
  </si>
  <si>
    <t>N055</t>
  </si>
  <si>
    <t>04/03/2026</t>
  </si>
  <si>
    <t>TfL Street Lighting - Control Management System (CMS)</t>
  </si>
  <si>
    <t>Transport for London</t>
  </si>
  <si>
    <t>Not stated</t>
  </si>
  <si>
    <t>31000000;34928500;34928510;34928520;34928530;34929000;48000000;65000000;72000000</t>
  </si>
  <si>
    <t>02/09/2026</t>
  </si>
  <si>
    <t>LOW: CMS hardware and 37,000 luminaires, physical asset management</t>
  </si>
  <si>
    <t>Not within Trifork's build capability: hardware and physical infrastructure. Bulk of scope is physical: CMS hardware, 37,000 lighting luminaires, installation. Delivered as SaaS, but the deliverable is dominated by hardware and physical asset management.</t>
  </si>
  <si>
    <t>N056</t>
  </si>
  <si>
    <t>22/11/2023</t>
  </si>
  <si>
    <t>Cadent Gas IT Consultancy &amp; IT Technical Capability Dynamic Purchasing System</t>
  </si>
  <si>
    <t>F05 Contract notice (DPS, utilities)</t>
  </si>
  <si>
    <t>£100,000,000 excl VAT</t>
  </si>
  <si>
    <t>22/11/2026</t>
  </si>
  <si>
    <t>LOW: generic supplier-access vehicle, no specific deliverable at all</t>
  </si>
  <si>
    <t>Filter 1 (buyer boundary: private gas utility) + Filter 2 (gas critical infrastructure, UK clearance not confirmed)</t>
  </si>
  <si>
    <t>Not within Trifork's build capability: generic supplier-access vehicle, no specific deliverable. A dynamic purchasing system giving Cadent access to a wide array of IT suppliers for whatever requirement arises. No specific deliverable, platform or build described anywhere.</t>
  </si>
  <si>
    <t>Confirmed fail on type. No specific requirement to act on currently.</t>
  </si>
  <si>
    <t>N065</t>
  </si>
  <si>
    <t>25/06/2026 (last edited 21/07/2026)</t>
  </si>
  <si>
    <t>Corporate Asset Management System</t>
  </si>
  <si>
    <t>South Yorkshire Mayoral Combined Authority</t>
  </si>
  <si>
    <t>£5,249,000 excl VAT</t>
  </si>
  <si>
    <t>48000000;72000000</t>
  </si>
  <si>
    <t>LOW: SaaS replacement of a named platform, 20% product demonstration</t>
  </si>
  <si>
    <t>Not within Trifork's build capability: packaged SaaS product replacement. Explicit SaaS replacement of a named end-of-life platform (XV Plus). Evaluation includes a live Platform Demonstration worth 20%. Packaged product swap, not a build.</t>
  </si>
  <si>
    <t>N066</t>
  </si>
  <si>
    <t>Technical Support Framework 2026</t>
  </si>
  <si>
    <t>Translink</t>
  </si>
  <si>
    <t>Public undertaking</t>
  </si>
  <si>
    <t>UK4 tender (framework)</t>
  </si>
  <si>
    <t>£5,000,000 incl VAT</t>
  </si>
  <si>
    <t>71311200;72221000;79411000;79300000</t>
  </si>
  <si>
    <t>14/09/2026</t>
  </si>
  <si>
    <t>LOW: all CPVs are consultancy and research categories</t>
  </si>
  <si>
    <t>Not within Trifork's build capability: advisory-only. All CPV codes are consultancy or research categories (transport systems consultancy, business analysis, market research). Framework favours Direct Selection and Legacy Service Provider. Advisory framework, not build work.</t>
  </si>
  <si>
    <t>N067</t>
  </si>
  <si>
    <t>Liquidity Risk Model</t>
  </si>
  <si>
    <t>LGPS Central Limited</t>
  </si>
  <si>
    <t>Local government pension pool (buyer boundary)</t>
  </si>
  <si>
    <t>Fintech</t>
  </si>
  <si>
    <t>48411000;48441000;72268000</t>
  </si>
  <si>
    <t>LOW: packaged investment-management and financial-analysis software CPVs</t>
  </si>
  <si>
    <t>Filter 1 (buyer boundary: pension pool, confirm exclusion list applies)</t>
  </si>
  <si>
    <t>Not within Trifork's build capability: packaged product purchase. CPV codes are explicitly packaged investment-management and financial-analysis software categories, plus a software-supply code. Evaluation criteria match configuring a purchased platform, not building one.</t>
  </si>
  <si>
    <t>N068</t>
  </si>
  <si>
    <t>28/07/2026</t>
  </si>
  <si>
    <t>UK4 - Tender Notice Template - Network Design &amp; Integration Services</t>
  </si>
  <si>
    <t>£32,000,000 excl VAT</t>
  </si>
  <si>
    <t>71300000;71316000;72700000;72220000;64227000;64200000</t>
  </si>
  <si>
    <t>25/08/2026</t>
  </si>
  <si>
    <t>LOW: telecoms network engineering, a different discipline from software</t>
  </si>
  <si>
    <t>Not within Trifork's build capability: different engineering discipline (telecoms network engineering, not software). Telecommunications network design, integration and provisioning at the physical network layer (FTN/FTNx, voice platforms), delivered via a managed-service engineering team. Telecoms engineering, not a software build.</t>
  </si>
  <si>
    <t>N044</t>
  </si>
  <si>
    <t>Cost Intelligence Software</t>
  </si>
  <si>
    <t>£2,077,200 excl VAT (£2,492,640 incl VAT)</t>
  </si>
  <si>
    <t>N/A: was a genuine build fit, failed only because the deadline passed</t>
  </si>
  <si>
    <t>MISSED DEADLINE, not a capability fail. Confirmed strong build fit (within capability, 2. Build of software and 3. Data and AI work) and an open competitive route, but the deadline for requests to participate (30/07/2026) passed without submission. Window genuinely closed. This was never a type or capability failure.</t>
  </si>
  <si>
    <t>None. Window closed.</t>
  </si>
  <si>
    <t>N036</t>
  </si>
  <si>
    <t>08/07/2026</t>
  </si>
  <si>
    <t>Software for Cable Thermal Ratings, Tunnel Thermal Modelling and Specialist Calculation Capabilities (RoCiT, DRY, THORIN, RAUROS)</t>
  </si>
  <si>
    <t>National Grid Electricity Transmission</t>
  </si>
  <si>
    <t>48000000</t>
  </si>
  <si>
    <t>MED (if pursued): genuine modernisation build, but window closed</t>
  </si>
  <si>
    <t>WINDOW CLOSED, not a capability fail. Capability, if pursued: 1. Design of software + 2. Build of software. Genuine modernisation build for cable/tunnel thermal calculation software, explicitly open to bespoke or hybrid approaches. Engagement window closed without action; watch for a future tender, per triage rule.</t>
  </si>
  <si>
    <t>N039</t>
  </si>
  <si>
    <t>14/07/2026</t>
  </si>
  <si>
    <t>Market Engagement of Payments Roadmap Technology Delivery Partner (TDP)</t>
  </si>
  <si>
    <t>Bank of England</t>
  </si>
  <si>
    <t>Central bank</t>
  </si>
  <si>
    <t>£30,000,000 excl VAT (£36,000,000 incl VAT)</t>
  </si>
  <si>
    <t>MED (if pursued): genuine build fit, but window closed</t>
  </si>
  <si>
    <t>Filter 2 (central bank, UK clearance not confirmed)</t>
  </si>
  <si>
    <t>WINDOW CLOSED, not a capability fail. Capability, if pursued: 2. Build of software. Genuine build fit: real-time settlement and payment messaging enhancements to RTGS. Engagement window closed without action; watch for a future tender, per triage rule.</t>
  </si>
  <si>
    <t>N040</t>
  </si>
  <si>
    <t>08/06/2026</t>
  </si>
  <si>
    <t>Data Collection Services (Re procurement of the Bank of England's Electronic Data System, BEEDS)</t>
  </si>
  <si>
    <t>£20,000,000 excl VAT (£24,000,000 incl VAT)</t>
  </si>
  <si>
    <t>48614000;72220000;72263000;72310000;72322000</t>
  </si>
  <si>
    <t>WINDOW CLOSED, not a capability fail. Capability, if pursued: 2. Build of software + 3. Data and AI work. Genuine build fit: modernising a strategic regulatory data collection platform. Engagement window closed without action; watch for a future tender, per triage rule.</t>
  </si>
  <si>
    <t>N042</t>
  </si>
  <si>
    <t>01/07/2026</t>
  </si>
  <si>
    <t>Industry Simulation Software for Fusion</t>
  </si>
  <si>
    <t>UK Atomic Energy Authority</t>
  </si>
  <si>
    <t>£450,500 excl VAT (£540,600 incl VAT), 5 lots at £108,120 each</t>
  </si>
  <si>
    <t>72212100;72000000</t>
  </si>
  <si>
    <t>MED (if pursued): unclear build vs tool evaluation, and window closed</t>
  </si>
  <si>
    <t>Open procedure</t>
  </si>
  <si>
    <t>Filter 2 (nuclear/fusion sector, UK clearance not confirmed)</t>
  </si>
  <si>
    <t>WINDOW CLOSED, not a capability fail. Capability, if pursued: 3. Data and AI work. Ambiguous whether genuine software development or an evaluation of existing simulation tools against case studies. Engagement window closed without action; watch for a future tender, per triage rule.</t>
  </si>
  <si>
    <t>N045</t>
  </si>
  <si>
    <t>02/07/2026</t>
  </si>
  <si>
    <t>Large Electrical Network Simulation (LENS) - HVDC</t>
  </si>
  <si>
    <t>Scottish Hydro Electric Transmission Plc (SHET)</t>
  </si>
  <si>
    <t>£28,800,000 incl VAT</t>
  </si>
  <si>
    <t>72222300;44316400;51611100;48000000</t>
  </si>
  <si>
    <t>N/A: structurally blocked, framework requires an established product</t>
  </si>
  <si>
    <t>BLOCKED (framework requires established/proven product, awarded without competition to establishing party only)</t>
  </si>
  <si>
    <t>WINDOW CLOSED, not a capability fail. Capability, if pursued: N/A, structurally blocked, not a capability question. Framework explicitly requires an ‘established and proven’ product, awarded without competition to the establishing party only. Closed door by design regardless of capability. Engagement window also closed; watch only.</t>
  </si>
  <si>
    <t>N057</t>
  </si>
  <si>
    <t>Independent Travel Training App</t>
  </si>
  <si>
    <t>Essex County Council</t>
  </si>
  <si>
    <t>County council (buyer boundary)</t>
  </si>
  <si>
    <t>06/08/2026</t>
  </si>
  <si>
    <t>MED (if pursued): type never resolved before the window closed</t>
  </si>
  <si>
    <t>Filter 1 (buyer boundary: county council, confirm exclusion list applies)</t>
  </si>
  <si>
    <t>WINDOW CLOSED, not a capability fail. MED capability, if pursued: 2. Build of software (unresolved). Buyer explicitly asked bespoke vs white-label; real functional scope, but never confirmed which way it resolved before the window closed.</t>
  </si>
  <si>
    <t>NOTE FOR VICTORIA: type was never resolved before the engagement window closed. If a future tender follows, the bespoke-vs-white-label question needs answering early, not left to the last minute again.</t>
  </si>
  <si>
    <t>HOW TO USE THIS PIPELINE: PHASE BY PHASE</t>
  </si>
  <si>
    <t>PHASE</t>
  </si>
  <si>
    <t>STEP</t>
  </si>
  <si>
    <t>WHO</t>
  </si>
  <si>
    <t>WHAT GOOD LOOKS LIKE</t>
  </si>
  <si>
    <t>PHASE 1</t>
  </si>
  <si>
    <t>Quick scan: buyer in scope + capability plausible</t>
  </si>
  <si>
    <t>Me + Claude</t>
  </si>
  <si>
    <t>Fast pass/fail on title and description only. Produces the Pass/Flag/Handoff/Fail split.</t>
  </si>
  <si>
    <t>PHASE 2</t>
  </si>
  <si>
    <t>Open each PASS notice individually</t>
  </si>
  <si>
    <t>Me pulls notice, Claude re-triages with full detail</t>
  </si>
  <si>
    <t>Confirm real CPV codes, real value, framework status (direct vs entry vs call-off), and check my sector's filters properly rather than flagging as ambiguous.</t>
  </si>
  <si>
    <t>Resolve open flags</t>
  </si>
  <si>
    <t>Me + Victoria</t>
  </si>
  <si>
    <t>Anything marked CONFIRM or UNRESOLVED needs a real answer before capture. Do not let a flagged row drift into a brief unresolved.</t>
  </si>
  <si>
    <t>PHASE 3</t>
  </si>
  <si>
    <t>Qualification</t>
  </si>
  <si>
    <t>Me, sense-checked by Victoria</t>
  </si>
  <si>
    <t>Once CPV, value, framework status confirmed: score competitor position and right to win using the capability reference. Assign final HIGH/MED/LOW.</t>
  </si>
  <si>
    <t>PHASE 4</t>
  </si>
  <si>
    <t>Capture brief drafting</t>
  </si>
  <si>
    <t>Me drafts, Claude assists, Victoria reviews</t>
  </si>
  <si>
    <t>HIGH and Victoria-approved MED only. Source every fact from the verified notice or FTS, not from this tracker's provisional notes.</t>
  </si>
  <si>
    <t>Victoria review and bid/no-bid</t>
  </si>
  <si>
    <t>Victoria</t>
  </si>
  <si>
    <t>Victoria makes the final call. All Trifork-facing communication routes through her.</t>
  </si>
  <si>
    <t>NON-NEGOTIABLES</t>
  </si>
  <si>
    <t>No value threshold</t>
  </si>
  <si>
    <t>Confirmed by Victoria. Never fail a notice on value alone.</t>
  </si>
  <si>
    <t>Framework access is binary</t>
  </si>
  <si>
    <t>Trifork has no confirmed UK framework access. A call-off from a framework Trifork isn't on is BLOCKED regardless of fit.</t>
  </si>
  <si>
    <t>Where unsure, include and flag</t>
  </si>
  <si>
    <t>Ambiguous filter calls, and the Rail/Aviation overlap, are not resolved by guessing. Name the actual open question, let Victoria decide.</t>
  </si>
  <si>
    <t>Never assume to fill a gap</t>
  </si>
  <si>
    <t>If undocumented, the answer is 'unconfirmed, flag it.'</t>
  </si>
  <si>
    <t>Act on blockers immediately</t>
  </si>
  <si>
    <t>If a notice reveals a needed registration or accreditation (e.g. Cyber Essentials Plus, a new portal), start that action now regardless of eventual bid/no-bid — log it on the tracker for Victoria.</t>
  </si>
  <si>
    <t>Read everything Claude generates</t>
  </si>
  <si>
    <t>Especially every FAIL — challenge it before accepting it. Nothing goes out the door without your own judgement.</t>
  </si>
  <si>
    <t>MY PIPELINE — HANDOFF TO KANVESH (CENTRAL/LOCAL GOVERNMENT)</t>
  </si>
  <si>
    <t>N014</t>
  </si>
  <si>
    <t>Digital Payments and Associated Data Services</t>
  </si>
  <si>
    <t>Crown Commercial Service</t>
  </si>
  <si>
    <t>Central government (Cabinet Office)</t>
  </si>
  <si>
    <t>Fintech tech, central government buyer</t>
  </si>
  <si>
    <t>Paste 20/07/2026 (18-page FTS sweep)</t>
  </si>
  <si>
    <t>£1,440,000,000</t>
  </si>
  <si>
    <t>01/09/2026</t>
  </si>
  <si>
    <t>HANDOFF</t>
  </si>
  <si>
    <t>N/A - not Mark's desk</t>
  </si>
  <si>
    <t>Financial tech (payments, open banking) but bought by Crown Commercial Service, a central government buyer. Per Victoria's ruling, financial tech bought by a central department routes to Kanvesh regardless of the fintech flavour. Capturing and passing across, not failing.</t>
  </si>
  <si>
    <t>Send to Kanvesh.</t>
  </si>
  <si>
    <t>N015</t>
  </si>
  <si>
    <t>Communications Platform as a Service (CPaaS) and Customer Communications Solution</t>
  </si>
  <si>
    <t>HM Revenue &amp; Customs</t>
  </si>
  <si>
    <t>Central government buyer</t>
  </si>
  <si>
    <t>04/09/2026</t>
  </si>
  <si>
    <t>General communications platform bought by HMRC, a central government department. Not core fintech buyer, and not Mark's desk either way. Capturing and passing across.</t>
  </si>
  <si>
    <t>N016</t>
  </si>
  <si>
    <t>Open Banking (Data, Digital Payments &amp; Confirmation of Payee Services) DPS</t>
  </si>
  <si>
    <t>F02 Contract notice (DPS)</t>
  </si>
  <si>
    <t>£800,000,000</t>
  </si>
  <si>
    <t>07/01/2032</t>
  </si>
  <si>
    <t>Open banking services DPS run by Crown Commercial Service for the public sector, not a direct fintech-institution procurement. Same routing logic as N014. Capturing and passing across.</t>
  </si>
  <si>
    <t>N069</t>
  </si>
  <si>
    <t>Swindon Integrated Sexual Health Services</t>
  </si>
  <si>
    <t>Swindon Borough Council</t>
  </si>
  <si>
    <t>Local authority</t>
  </si>
  <si>
    <t>Local Government (Kanvesh's sector)</t>
  </si>
  <si>
    <t>Contracts Finder sweep 06/08/2026</t>
  </si>
  <si>
    <t>Opportunity</t>
  </si>
  <si>
    <t>£23,000,000 to £23,580,000</t>
  </si>
  <si>
    <t>85100000 (health services, inferred)</t>
  </si>
  <si>
    <t>Buyer is Kanvesh's sector (Local Government). Capturing and passing across for visibility. Honest note on type: this reads predominantly as a clinical service delivery contract (sexual and reproductive health services), with digital access as a small component (c.£350,000/year of a £23.58m total). Leans toward a service contract, not a software build, on the type gate. Not a strong lead even for Kanvesh's desk, flagging for completeness.</t>
  </si>
  <si>
    <t>Send to Kanvesh, note the type caveat.</t>
  </si>
  <si>
    <t>N070</t>
  </si>
  <si>
    <t>Tender 46/2026 - UNESCO Together Project - Integrated Facilitation, Residential Coordination, Accommodation, Transport and Strategic Reporting Services</t>
  </si>
  <si>
    <t>Newry, Mourne and Down District Council (NMD)</t>
  </si>
  <si>
    <t>District council</t>
  </si>
  <si>
    <t>79950000 (event/programme management, inferred)</t>
  </si>
  <si>
    <t>Buyer is Kanvesh's sector (Local Government). Capturing and passing across for visibility. Honest note on type: this is facilitation, residential coordination, accommodation, transport and reporting for a peacebuilding and cultural cooperation programme, event and programme management, not software work. Not a build opportunity regardless of owner, flagging for completeness.</t>
  </si>
  <si>
    <t>MY PIPELINE — HANDOFF TO NHS (UNOWNED, HOLD FOR VICTORIA)</t>
  </si>
  <si>
    <t>data, data platform, data engineering, digital, digital identity, secure, security, secure messaging, AI, application, development, agile, software, software development, data platform, artificial intelligence, digital transformation, cloud platform, identity, Ai services, agile delivery, API integration, secure communications, real-time payments, payments platform, digital wallet, open banking, clearing and settlement, banking API, systems assurance, airline booking system, airline operations software, flight operations platform, passenger service system, signalling software, ticketing system, passenger information system, real-time data platform, train control software, rolling stock, station construction, smart grid, IoT telemetry, energy monitoring software, grid data platform, smart metering software</t>
  </si>
  <si>
    <t>Does Trifork builds erp system?</t>
  </si>
  <si>
    <t>Does trifork already has Risk Assesment System that they can present so they could understand the its capabilities?</t>
  </si>
  <si>
    <t>Can Trifork can already share info of their Passenger Booking App?</t>
  </si>
  <si>
    <t>Buyer is asking for market capability which means existing system</t>
  </si>
  <si>
    <t>Does Trifork do Consultancy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</si>
</sst>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b/>
      <sz val="13"/>
      <color rgb="FFFFFFFF"/>
      <name val="Arial"/>
      <family val="2"/>
      <charset val="1"/>
    </font>
    <font>
      <b/>
      <sz val="10"/>
      <name val="Arial"/>
      <family val="2"/>
      <charset val="1"/>
    </font>
    <font>
      <sz val="10"/>
      <name val="Arial"/>
      <family val="2"/>
      <charset val="1"/>
    </font>
    <font>
      <i/>
      <sz val="8"/>
      <color rgb="FF6B7280"/>
      <name val="Arial"/>
      <family val="2"/>
      <charset val="1"/>
    </font>
    <font>
      <b/>
      <sz val="9"/>
      <color rgb="FFFFFFFF"/>
      <name val="Arial"/>
      <family val="2"/>
      <charset val="1"/>
    </font>
    <font>
      <sz val="10"/>
      <name val="Calibri"/>
      <family val="2"/>
      <charset val="1"/>
    </font>
    <font>
      <sz val="11"/>
      <color rgb="FF000000"/>
      <name val="Calibri"/>
      <charset val="1"/>
    </font>
    <font>
      <u/>
      <sz val="10"/>
      <color rgb="FF0563C1"/>
      <name val="Calibri"/>
      <charset val="1"/>
    </font>
    <font>
      <sz val="11"/>
      <color rgb="FFFF0000"/>
      <name val="Calibri"/>
      <family val="2"/>
      <charset val="1"/>
    </font>
    <font>
      <sz val="11"/>
      <name val="Calibri"/>
      <family val="2"/>
      <charset val="1"/>
    </font>
    <font>
      <sz val="10"/>
      <color rgb="FF000000"/>
      <name val="Calibri"/>
      <charset val="1"/>
    </font>
    <font>
      <sz val="10"/>
      <color rgb="FFFF0000"/>
      <name val="Calibri"/>
      <family val="2"/>
      <charset val="1"/>
    </font>
    <font>
      <sz val="11"/>
      <color rgb="FF000000"/>
      <name val="Calibri"/>
      <family val="2"/>
      <charset val="1"/>
    </font>
    <font>
      <b/>
      <sz val="10"/>
      <name val="Calibri"/>
      <family val="2"/>
      <charset val="1"/>
    </font>
    <font>
      <b/>
      <sz val="10"/>
      <color rgb="FFFFFFFF"/>
      <name val="Arial"/>
      <family val="2"/>
      <charset val="1"/>
    </font>
    <font>
      <sz val="10"/>
      <color rgb="FF111827"/>
      <name val="Arial"/>
      <family val="2"/>
      <charset val="1"/>
    </font>
    <font>
      <b/>
      <sz val="11"/>
      <name val="Arial"/>
      <family val="2"/>
      <charset val="1"/>
    </font>
    <font>
      <b/>
      <sz val="9"/>
      <name val="Arial"/>
      <family val="2"/>
      <charset val="1"/>
    </font>
    <font>
      <sz val="9"/>
      <name val="Arial"/>
      <family val="2"/>
      <charset val="1"/>
    </font>
    <font>
      <sz val="11"/>
      <name val="Calibri"/>
      <family val="2"/>
    </font>
    <font>
      <sz val="10"/>
      <name val="Calibri"/>
      <family val="2"/>
    </font>
    <font>
      <sz val="11"/>
      <color rgb="FF000000"/>
      <name val="Calibri"/>
      <family val="2"/>
    </font>
    <font>
      <sz val="10"/>
      <color rgb="FF000000"/>
      <name val="Calibri"/>
      <family val="2"/>
    </font>
  </fonts>
  <fills count="9">
    <fill>
      <patternFill patternType="none"/>
    </fill>
    <fill>
      <patternFill patternType="gray125"/>
    </fill>
    <fill>
      <patternFill patternType="solid">
        <fgColor rgb="FF1F2937"/>
        <bgColor rgb="FF111827"/>
      </patternFill>
    </fill>
    <fill>
      <patternFill patternType="solid">
        <fgColor rgb="FFF3F4F6"/>
        <bgColor rgb="FFFFFFFF"/>
      </patternFill>
    </fill>
    <fill>
      <patternFill patternType="solid">
        <fgColor rgb="FFD9622B"/>
        <bgColor rgb="FFFF8080"/>
      </patternFill>
    </fill>
    <fill>
      <patternFill patternType="solid">
        <fgColor rgb="FFAF0000"/>
        <bgColor rgb="FF800000"/>
      </patternFill>
    </fill>
    <fill>
      <patternFill patternType="solid">
        <fgColor rgb="FFFFFFFF"/>
        <bgColor rgb="FFF3F4F6"/>
      </patternFill>
    </fill>
    <fill>
      <patternFill patternType="solid">
        <fgColor theme="0"/>
        <bgColor rgb="FF800000"/>
      </patternFill>
    </fill>
    <fill>
      <patternFill patternType="solid">
        <fgColor theme="0"/>
        <bgColor indexed="64"/>
      </patternFill>
    </fill>
  </fills>
  <borders count="1">
    <border>
      <left/>
      <right/>
      <top/>
      <bottom/>
      <diagonal/>
    </border>
  </borders>
  <cellStyleXfs count="1">
    <xf numFmtId="0" fontId="0" fillId="0" borderId="0"/>
  </cellStyleXfs>
  <cellXfs count="35">
    <xf numFmtId="0" fontId="0" fillId="0" borderId="0" xfId="0"/>
    <xf numFmtId="0" fontId="1" fillId="2" borderId="0" xfId="0" applyFont="1" applyFill="1" applyAlignment="1">
      <alignment horizontal="left" vertical="center" indent="1"/>
    </xf>
    <xf numFmtId="0" fontId="2" fillId="3" borderId="0" xfId="0" applyFont="1" applyFill="1"/>
    <xf numFmtId="0" fontId="3" fillId="0" borderId="0" xfId="0" applyFont="1"/>
    <xf numFmtId="0" fontId="4" fillId="0" borderId="0" xfId="0" applyFont="1"/>
    <xf numFmtId="0" fontId="2" fillId="0" borderId="0" xfId="0" applyFont="1"/>
    <xf numFmtId="0" fontId="3" fillId="0" borderId="0" xfId="0" applyFont="1" applyAlignment="1">
      <alignment vertical="top" wrapText="1"/>
    </xf>
    <xf numFmtId="0" fontId="5" fillId="4" borderId="0" xfId="0" applyFont="1" applyFill="1" applyAlignment="1">
      <alignment horizontal="center" vertical="center" wrapText="1"/>
    </xf>
    <xf numFmtId="0" fontId="6" fillId="0" borderId="0" xfId="0" applyFont="1"/>
    <xf numFmtId="0" fontId="7" fillId="0" borderId="0" xfId="0" applyFont="1"/>
    <xf numFmtId="0" fontId="8" fillId="0" borderId="0" xfId="0" applyFont="1"/>
    <xf numFmtId="0" fontId="7" fillId="0" borderId="0" xfId="0" applyFont="1" applyAlignment="1">
      <alignment vertical="top" wrapText="1"/>
    </xf>
    <xf numFmtId="0" fontId="10" fillId="0" borderId="0" xfId="0" applyFont="1"/>
    <xf numFmtId="0" fontId="9" fillId="0" borderId="0" xfId="0" applyFont="1"/>
    <xf numFmtId="0" fontId="11" fillId="0" borderId="0" xfId="0" applyFont="1"/>
    <xf numFmtId="0" fontId="11" fillId="0" borderId="0" xfId="0" applyFont="1" applyAlignment="1">
      <alignment vertical="top" wrapText="1"/>
    </xf>
    <xf numFmtId="0" fontId="12" fillId="0" borderId="0" xfId="0" applyFont="1"/>
    <xf numFmtId="0" fontId="13" fillId="0" borderId="0" xfId="0" applyFont="1"/>
    <xf numFmtId="0" fontId="14" fillId="5" borderId="0" xfId="0" applyFont="1" applyFill="1"/>
    <xf numFmtId="0" fontId="15" fillId="2" borderId="0" xfId="0" applyFont="1" applyFill="1" applyAlignment="1">
      <alignment vertical="top" wrapText="1"/>
    </xf>
    <xf numFmtId="0" fontId="16" fillId="3" borderId="0" xfId="0" applyFont="1" applyFill="1" applyAlignment="1">
      <alignment vertical="top" wrapText="1"/>
    </xf>
    <xf numFmtId="0" fontId="16" fillId="6" borderId="0" xfId="0" applyFont="1" applyFill="1" applyAlignment="1">
      <alignment vertical="top" wrapText="1"/>
    </xf>
    <xf numFmtId="0" fontId="17" fillId="0" borderId="0" xfId="0" applyFont="1"/>
    <xf numFmtId="0" fontId="18" fillId="0" borderId="0" xfId="0" applyFont="1"/>
    <xf numFmtId="0" fontId="0" fillId="0" borderId="0" xfId="0" applyAlignment="1">
      <alignment wrapText="1"/>
    </xf>
    <xf numFmtId="0" fontId="20" fillId="0" borderId="0" xfId="0" applyFont="1" applyAlignment="1">
      <alignment vertical="top" wrapText="1"/>
    </xf>
    <xf numFmtId="0" fontId="20" fillId="8" borderId="0" xfId="0" applyFont="1" applyFill="1"/>
    <xf numFmtId="0" fontId="21" fillId="7" borderId="0" xfId="0" applyFont="1" applyFill="1"/>
    <xf numFmtId="0" fontId="22" fillId="0" borderId="0" xfId="0" applyFont="1"/>
    <xf numFmtId="0" fontId="20" fillId="0" borderId="0" xfId="0" applyFont="1"/>
    <xf numFmtId="0" fontId="23" fillId="0" borderId="0" xfId="0" applyFont="1"/>
    <xf numFmtId="0" fontId="1" fillId="2" borderId="0" xfId="0" applyFont="1" applyFill="1" applyAlignment="1">
      <alignment horizontal="left" vertical="center" indent="1"/>
    </xf>
    <xf numFmtId="0" fontId="0" fillId="0" borderId="0" xfId="0"/>
    <xf numFmtId="0" fontId="4" fillId="0" borderId="0" xfId="0" applyFont="1"/>
    <xf numFmtId="0" fontId="19"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AF0000"/>
      <rgbColor rgb="FF008000"/>
      <rgbColor rgb="FF000080"/>
      <rgbColor rgb="FF808000"/>
      <rgbColor rgb="FF800080"/>
      <rgbColor rgb="FF008080"/>
      <rgbColor rgb="FFC0C0C0"/>
      <rgbColor rgb="FF808080"/>
      <rgbColor rgb="FF9999FF"/>
      <rgbColor rgb="FF993366"/>
      <rgbColor rgb="FFF3F4F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D9622B"/>
      <rgbColor rgb="FF6B7280"/>
      <rgbColor rgb="FF969696"/>
      <rgbColor rgb="FF003366"/>
      <rgbColor rgb="FF339966"/>
      <rgbColor rgb="FF111827"/>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www.find-tender.service.gov.uk/Notice/070963-2026" TargetMode="External"/><Relationship Id="rId13" Type="http://schemas.openxmlformats.org/officeDocument/2006/relationships/hyperlink" Target="https://www.find-tender.service.gov.uk/Notice/073022-2026" TargetMode="External"/><Relationship Id="rId3" Type="http://schemas.openxmlformats.org/officeDocument/2006/relationships/hyperlink" Target="https://www.find-tender.service.gov.uk/Notice/067884-2026" TargetMode="External"/><Relationship Id="rId7" Type="http://schemas.openxmlformats.org/officeDocument/2006/relationships/hyperlink" Target="https://www.find-tender.service.gov.uk/Notice/069718-2026" TargetMode="External"/><Relationship Id="rId12" Type="http://schemas.openxmlformats.org/officeDocument/2006/relationships/hyperlink" Target="https://www.find-tender.service.gov.uk/Notice/069715-2026" TargetMode="External"/><Relationship Id="rId2" Type="http://schemas.openxmlformats.org/officeDocument/2006/relationships/hyperlink" Target="https://www.find-tender.service.gov.uk/Notice/067262-2026" TargetMode="External"/><Relationship Id="rId1" Type="http://schemas.openxmlformats.org/officeDocument/2006/relationships/hyperlink" Target="https://www.find-tender.service.gov.uk/Notice/068434-2026" TargetMode="External"/><Relationship Id="rId6" Type="http://schemas.openxmlformats.org/officeDocument/2006/relationships/hyperlink" Target="https://www.find-tender.service.gov.uk/Notice/063523-2026" TargetMode="External"/><Relationship Id="rId11" Type="http://schemas.openxmlformats.org/officeDocument/2006/relationships/hyperlink" Target="https://www.find-tender.service.gov.uk/Notice/072871-2026" TargetMode="External"/><Relationship Id="rId5" Type="http://schemas.openxmlformats.org/officeDocument/2006/relationships/hyperlink" Target="https://www.find-tender.service.gov.uk/Notice/062959-2026" TargetMode="External"/><Relationship Id="rId10" Type="http://schemas.openxmlformats.org/officeDocument/2006/relationships/hyperlink" Target="https://www.find-tender.service.gov.uk/Notice/073322-2026" TargetMode="External"/><Relationship Id="rId4" Type="http://schemas.openxmlformats.org/officeDocument/2006/relationships/hyperlink" Target="https://www.find-tender.service.gov.uk/Notice/067437-2026" TargetMode="External"/><Relationship Id="rId9" Type="http://schemas.openxmlformats.org/officeDocument/2006/relationships/hyperlink" Target="https://www.find-tender.service.gov.uk/Notice/070509-202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find-tender.service.gov.uk/Notice/043955-2026" TargetMode="External"/><Relationship Id="rId13" Type="http://schemas.openxmlformats.org/officeDocument/2006/relationships/hyperlink" Target="https://www.find-tender.service.gov.uk/Notice/071824-2026" TargetMode="External"/><Relationship Id="rId18" Type="http://schemas.openxmlformats.org/officeDocument/2006/relationships/hyperlink" Target="https://www.find-tender.service.gov.uk/Notice/066395-2026" TargetMode="External"/><Relationship Id="rId3" Type="http://schemas.openxmlformats.org/officeDocument/2006/relationships/hyperlink" Target="https://www.find-tender.service.gov.uk/Notice/067454-2026" TargetMode="External"/><Relationship Id="rId21" Type="http://schemas.openxmlformats.org/officeDocument/2006/relationships/hyperlink" Target="https://www.find-tender.service.gov.uk/Notice/062462-2026" TargetMode="External"/><Relationship Id="rId7" Type="http://schemas.openxmlformats.org/officeDocument/2006/relationships/hyperlink" Target="https://www.find-tender.service.gov.uk/Notice/042900-2026" TargetMode="External"/><Relationship Id="rId12" Type="http://schemas.openxmlformats.org/officeDocument/2006/relationships/hyperlink" Target="https://www.find-tender.service.gov.uk/Notice/068658-2026" TargetMode="External"/><Relationship Id="rId17" Type="http://schemas.openxmlformats.org/officeDocument/2006/relationships/hyperlink" Target="https://www.find-tender.service.gov.uk/Notice/064265-2026" TargetMode="External"/><Relationship Id="rId2" Type="http://schemas.openxmlformats.org/officeDocument/2006/relationships/hyperlink" Target="https://www.find-tender.service.gov.uk/Notice/066590-2026" TargetMode="External"/><Relationship Id="rId16" Type="http://schemas.openxmlformats.org/officeDocument/2006/relationships/hyperlink" Target="https://www.find-tender.service.gov.uk/Notice/063392-2026" TargetMode="External"/><Relationship Id="rId20" Type="http://schemas.openxmlformats.org/officeDocument/2006/relationships/hyperlink" Target="https://www.find-tender.service.gov.uk/Notice/061842-2026" TargetMode="External"/><Relationship Id="rId1" Type="http://schemas.openxmlformats.org/officeDocument/2006/relationships/hyperlink" Target="https://www.find-tender.service.gov.uk/Notice/068388-2026" TargetMode="External"/><Relationship Id="rId6" Type="http://schemas.openxmlformats.org/officeDocument/2006/relationships/hyperlink" Target="https://www.find-tender.service.gov.uk/Notice/051503-2026" TargetMode="External"/><Relationship Id="rId11" Type="http://schemas.openxmlformats.org/officeDocument/2006/relationships/hyperlink" Target="https://www.find-tender.service.gov.uk/Notice/034611-2023" TargetMode="External"/><Relationship Id="rId5" Type="http://schemas.openxmlformats.org/officeDocument/2006/relationships/hyperlink" Target="https://www.find-tender.service.gov.uk/Notice/063387-2026" TargetMode="External"/><Relationship Id="rId15" Type="http://schemas.openxmlformats.org/officeDocument/2006/relationships/hyperlink" Target="https://www.find-tender.service.gov.uk/Notice/071294-2026" TargetMode="External"/><Relationship Id="rId10" Type="http://schemas.openxmlformats.org/officeDocument/2006/relationships/hyperlink" Target="https://www.find-tender.service.gov.uk/Notice/019544-2026" TargetMode="External"/><Relationship Id="rId19" Type="http://schemas.openxmlformats.org/officeDocument/2006/relationships/hyperlink" Target="https://www.find-tender.service.gov.uk/Notice/053944-2026" TargetMode="External"/><Relationship Id="rId4" Type="http://schemas.openxmlformats.org/officeDocument/2006/relationships/hyperlink" Target="https://www.find-tender.service.gov.uk/Notice/065729-2026" TargetMode="External"/><Relationship Id="rId9" Type="http://schemas.openxmlformats.org/officeDocument/2006/relationships/hyperlink" Target="https://www.find-tender.service.gov.uk/Notice/060946-2026" TargetMode="External"/><Relationship Id="rId14" Type="http://schemas.openxmlformats.org/officeDocument/2006/relationships/hyperlink" Target="https://www.find-tender.service.gov.uk/Notice/069528-2026" TargetMode="External"/><Relationship Id="rId22" Type="http://schemas.openxmlformats.org/officeDocument/2006/relationships/hyperlink" Target="https://www.find-tender.service.gov.uk/Notice/069764-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zoomScaleNormal="100" workbookViewId="0">
      <selection activeCell="B8" sqref="B8"/>
    </sheetView>
  </sheetViews>
  <sheetFormatPr defaultColWidth="8.6328125" defaultRowHeight="14.5" x14ac:dyDescent="0.35"/>
  <cols>
    <col min="1" max="1" width="32" customWidth="1"/>
    <col min="2" max="2" width="55" customWidth="1"/>
    <col min="3" max="3" width="60" customWidth="1"/>
  </cols>
  <sheetData>
    <row r="1" spans="1:3" ht="24" customHeight="1" x14ac:dyDescent="0.35">
      <c r="A1" s="31" t="s">
        <v>160</v>
      </c>
      <c r="B1" s="32"/>
      <c r="C1" s="32"/>
    </row>
    <row r="3" spans="1:3" ht="15" customHeight="1" x14ac:dyDescent="0.35">
      <c r="A3" s="2" t="s">
        <v>161</v>
      </c>
      <c r="B3" s="2" t="s">
        <v>162</v>
      </c>
      <c r="C3" s="2" t="s">
        <v>163</v>
      </c>
    </row>
    <row r="4" spans="1:3" ht="15" customHeight="1" x14ac:dyDescent="0.35">
      <c r="A4" s="3" t="s">
        <v>164</v>
      </c>
      <c r="B4" s="3">
        <f>COUNTA(Pass!A3:A1000)</f>
        <v>0</v>
      </c>
      <c r="C4" s="3" t="s">
        <v>165</v>
      </c>
    </row>
    <row r="5" spans="1:3" ht="15" customHeight="1" x14ac:dyDescent="0.35">
      <c r="A5" s="3" t="s">
        <v>166</v>
      </c>
      <c r="B5" s="3">
        <f>COUNTA(Flag!A3:A994)</f>
        <v>13</v>
      </c>
      <c r="C5" s="3" t="s">
        <v>167</v>
      </c>
    </row>
    <row r="6" spans="1:3" ht="15" customHeight="1" x14ac:dyDescent="0.35">
      <c r="A6" s="3" t="s">
        <v>168</v>
      </c>
      <c r="B6" s="3">
        <f>COUNTA('Pass to Kanvesh'!A3:A1000)</f>
        <v>5</v>
      </c>
      <c r="C6" s="3" t="s">
        <v>169</v>
      </c>
    </row>
    <row r="7" spans="1:3" ht="15" customHeight="1" x14ac:dyDescent="0.35">
      <c r="A7" s="3" t="s">
        <v>170</v>
      </c>
      <c r="B7" s="3">
        <f>COUNTA('Pass to NHS'!A3:A1000)</f>
        <v>0</v>
      </c>
      <c r="C7" s="3" t="s">
        <v>171</v>
      </c>
    </row>
    <row r="8" spans="1:3" ht="15" customHeight="1" x14ac:dyDescent="0.35">
      <c r="A8" s="3" t="s">
        <v>172</v>
      </c>
      <c r="B8" s="3">
        <f>COUNTA(Fail!A3:A1006)</f>
        <v>22</v>
      </c>
      <c r="C8" s="3" t="s">
        <v>173</v>
      </c>
    </row>
    <row r="9" spans="1:3" ht="15" customHeight="1" x14ac:dyDescent="0.35">
      <c r="A9" s="3" t="s">
        <v>174</v>
      </c>
      <c r="B9" s="3">
        <f>B4+B5+B6+B7+B8</f>
        <v>40</v>
      </c>
      <c r="C9" s="3"/>
    </row>
    <row r="10" spans="1:3" ht="15" customHeight="1" x14ac:dyDescent="0.35">
      <c r="A10" s="3" t="s">
        <v>175</v>
      </c>
      <c r="B10" s="3">
        <f>COUNTIF(Pass!M3:M1000,"HIGH")</f>
        <v>0</v>
      </c>
      <c r="C10" s="3"/>
    </row>
    <row r="11" spans="1:3" ht="15" customHeight="1" x14ac:dyDescent="0.35">
      <c r="A11" s="3" t="s">
        <v>176</v>
      </c>
      <c r="B11" s="3">
        <f>COUNTIF(Pass!M3:M1000,"MED")</f>
        <v>0</v>
      </c>
      <c r="C11" s="3"/>
    </row>
    <row r="12" spans="1:3" ht="15" customHeight="1" x14ac:dyDescent="0.35">
      <c r="A12" s="3" t="s">
        <v>177</v>
      </c>
      <c r="B12" s="3">
        <f>COUNTIF(Pass!M3:M1000,"LOW")</f>
        <v>0</v>
      </c>
      <c r="C12" s="3"/>
    </row>
    <row r="13" spans="1:3" ht="15" customHeight="1" x14ac:dyDescent="0.35">
      <c r="A13" s="3" t="s">
        <v>178</v>
      </c>
      <c r="B13" s="3">
        <f>COUNTIF(Pass!N3:N1000,"*BLOCKED*")</f>
        <v>0</v>
      </c>
      <c r="C13" s="3" t="s">
        <v>179</v>
      </c>
    </row>
    <row r="14" spans="1:3" ht="15" customHeight="1" x14ac:dyDescent="0.35">
      <c r="A14" s="3" t="s">
        <v>180</v>
      </c>
      <c r="B14" s="3">
        <f>COUNTA(Flag!S3:S994)</f>
        <v>6</v>
      </c>
      <c r="C14" s="3" t="s">
        <v>181</v>
      </c>
    </row>
    <row r="15" spans="1:3" ht="15" customHeight="1" x14ac:dyDescent="0.35">
      <c r="A15" s="3" t="s">
        <v>182</v>
      </c>
      <c r="B15" s="3" t="s">
        <v>183</v>
      </c>
      <c r="C15" s="3"/>
    </row>
    <row r="16" spans="1:3" ht="14.25" customHeight="1" x14ac:dyDescent="0.35">
      <c r="A16" s="3" t="s">
        <v>184</v>
      </c>
      <c r="B16" s="3" t="s">
        <v>185</v>
      </c>
      <c r="C16" s="3"/>
    </row>
    <row r="17" spans="1:3" ht="15" customHeight="1" x14ac:dyDescent="0.35">
      <c r="A17" s="32"/>
      <c r="B17" s="32"/>
      <c r="C17" s="32"/>
    </row>
    <row r="18" spans="1:3" ht="14.25" customHeight="1" x14ac:dyDescent="0.35">
      <c r="A18" s="4" t="s">
        <v>186</v>
      </c>
    </row>
  </sheetData>
  <mergeCells count="2">
    <mergeCell ref="A1:C1"/>
    <mergeCell ref="A17:C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zoomScaleNormal="100" workbookViewId="0"/>
  </sheetViews>
  <sheetFormatPr defaultColWidth="8.6328125" defaultRowHeight="14.5" x14ac:dyDescent="0.35"/>
  <cols>
    <col min="1" max="1" width="28" customWidth="1"/>
    <col min="2" max="2" width="100" customWidth="1"/>
  </cols>
  <sheetData>
    <row r="1" spans="1:2" ht="24" customHeight="1" x14ac:dyDescent="0.35">
      <c r="A1" s="31" t="s">
        <v>187</v>
      </c>
      <c r="B1" s="32"/>
    </row>
    <row r="3" spans="1:2" ht="15" customHeight="1" x14ac:dyDescent="0.35">
      <c r="A3" s="2" t="s">
        <v>188</v>
      </c>
      <c r="B3" s="2" t="s">
        <v>189</v>
      </c>
    </row>
    <row r="4" spans="1:2" ht="60" customHeight="1" x14ac:dyDescent="0.35">
      <c r="A4" s="5" t="s">
        <v>12</v>
      </c>
      <c r="B4" s="6" t="s">
        <v>190</v>
      </c>
    </row>
    <row r="5" spans="1:2" ht="60" customHeight="1" x14ac:dyDescent="0.35">
      <c r="A5" s="5" t="s">
        <v>14</v>
      </c>
      <c r="B5" s="6" t="s">
        <v>191</v>
      </c>
    </row>
    <row r="6" spans="1:2" ht="60" customHeight="1" x14ac:dyDescent="0.35">
      <c r="A6" s="5" t="s">
        <v>13</v>
      </c>
      <c r="B6" s="6" t="s">
        <v>192</v>
      </c>
    </row>
    <row r="7" spans="1:2" ht="60" customHeight="1" x14ac:dyDescent="0.35">
      <c r="A7" s="5" t="s">
        <v>15</v>
      </c>
      <c r="B7" s="6" t="s">
        <v>193</v>
      </c>
    </row>
    <row r="8" spans="1:2" ht="60" customHeight="1" x14ac:dyDescent="0.35">
      <c r="A8" s="5" t="s">
        <v>194</v>
      </c>
      <c r="B8" s="6" t="s">
        <v>195</v>
      </c>
    </row>
    <row r="9" spans="1:2" ht="60" customHeight="1" x14ac:dyDescent="0.35">
      <c r="A9" s="5" t="s">
        <v>196</v>
      </c>
      <c r="B9" s="6" t="s">
        <v>197</v>
      </c>
    </row>
    <row r="10" spans="1:2" ht="60" customHeight="1" x14ac:dyDescent="0.35">
      <c r="A10" s="5" t="s">
        <v>198</v>
      </c>
      <c r="B10" s="6" t="s">
        <v>199</v>
      </c>
    </row>
    <row r="11" spans="1:2" ht="60" customHeight="1" x14ac:dyDescent="0.35">
      <c r="A11" s="5" t="s">
        <v>200</v>
      </c>
      <c r="B11" s="6" t="s">
        <v>201</v>
      </c>
    </row>
    <row r="13" spans="1:2" ht="15" customHeight="1" x14ac:dyDescent="0.35">
      <c r="A13" s="33" t="s">
        <v>186</v>
      </c>
      <c r="B13" s="32"/>
    </row>
  </sheetData>
  <mergeCells count="2">
    <mergeCell ref="A13:B13"/>
    <mergeCell ref="A1:B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
  <sheetViews>
    <sheetView zoomScaleNormal="100" workbookViewId="0">
      <pane ySplit="3" topLeftCell="A4" activePane="bottomLeft" state="frozen"/>
      <selection pane="bottomLeft"/>
    </sheetView>
  </sheetViews>
  <sheetFormatPr defaultColWidth="8.6328125" defaultRowHeight="14.5" x14ac:dyDescent="0.35"/>
  <cols>
    <col min="1" max="2" width="20" customWidth="1"/>
    <col min="3" max="3" width="32" customWidth="1"/>
    <col min="4" max="15" width="20" customWidth="1"/>
    <col min="16" max="16" width="34" customWidth="1"/>
    <col min="17" max="18" width="20" customWidth="1"/>
    <col min="19" max="19" width="34" customWidth="1"/>
  </cols>
  <sheetData>
    <row r="1" spans="1:19" ht="24" customHeight="1" x14ac:dyDescent="0.35">
      <c r="A1" s="31" t="s">
        <v>202</v>
      </c>
      <c r="B1" s="32"/>
      <c r="C1" s="32"/>
      <c r="D1" s="32"/>
      <c r="E1" s="32"/>
      <c r="F1" s="32"/>
      <c r="G1" s="32"/>
      <c r="H1" s="32"/>
      <c r="I1" s="32"/>
      <c r="J1" s="32"/>
      <c r="K1" s="32"/>
      <c r="L1" s="32"/>
      <c r="M1" s="32"/>
      <c r="N1" s="32"/>
      <c r="O1" s="32"/>
      <c r="P1" s="32"/>
      <c r="Q1" s="32"/>
      <c r="R1" s="32"/>
      <c r="S1" s="32"/>
    </row>
    <row r="2" spans="1:19" ht="30" customHeight="1" x14ac:dyDescent="0.35">
      <c r="A2" s="7" t="s">
        <v>1</v>
      </c>
      <c r="B2" s="7" t="s">
        <v>2</v>
      </c>
      <c r="C2" s="7"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row>
    <row r="3" spans="1:19" ht="45" customHeight="1" x14ac:dyDescent="0.35"/>
  </sheetData>
  <mergeCells count="1">
    <mergeCell ref="A1:S1"/>
  </mergeCells>
  <dataValidations count="3">
    <dataValidation type="list" allowBlank="1" sqref="L3:L999" xr:uid="{00000000-0002-0000-0200-000000000000}">
      <formula1>"PASS,FLAG,PASS TO KANVESH,PASS TO MADDY,FAIL,NEEDS VICTORIA INPUT"</formula1>
      <formula2>0</formula2>
    </dataValidation>
    <dataValidation type="list" allowBlank="1" sqref="M3:M999" xr:uid="{00000000-0002-0000-0200-000001000000}">
      <formula1>"HIGH,MED,LOW,UNVERIFIED,N/A"</formula1>
      <formula2>0</formula2>
    </dataValidation>
    <dataValidation type="list" allowBlank="1" sqref="N3:N999" xr:uid="{00000000-0002-0000-0200-000002000000}">
      <formula1>"Direct Procurement,Framework Entry Bid,Framework Call-off (BLOCKED),Unconfirmed"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6"/>
  <sheetViews>
    <sheetView tabSelected="1" zoomScaleNormal="100" workbookViewId="0">
      <selection activeCell="A3" sqref="A3"/>
    </sheetView>
  </sheetViews>
  <sheetFormatPr defaultColWidth="8.6328125" defaultRowHeight="14.5" x14ac:dyDescent="0.35"/>
  <cols>
    <col min="1" max="1" width="9.1796875" customWidth="1"/>
    <col min="2" max="2" width="13.81640625" customWidth="1"/>
    <col min="3" max="3" width="32" customWidth="1"/>
    <col min="4" max="15" width="20" customWidth="1"/>
    <col min="16" max="16" width="34" customWidth="1"/>
    <col min="17" max="18" width="20" customWidth="1"/>
    <col min="19" max="19" width="34" customWidth="1"/>
  </cols>
  <sheetData>
    <row r="1" spans="1:19" ht="24" customHeight="1" x14ac:dyDescent="0.35">
      <c r="A1" s="31" t="s">
        <v>0</v>
      </c>
      <c r="B1" s="32"/>
      <c r="C1" s="32"/>
      <c r="D1" s="32"/>
      <c r="E1" s="32"/>
      <c r="F1" s="32"/>
      <c r="G1" s="32"/>
      <c r="H1" s="32"/>
      <c r="I1" s="32"/>
      <c r="J1" s="32"/>
      <c r="K1" s="32"/>
      <c r="L1" s="32"/>
      <c r="M1" s="32"/>
      <c r="N1" s="32"/>
      <c r="O1" s="32"/>
      <c r="P1" s="32"/>
      <c r="Q1" s="32"/>
      <c r="R1" s="32"/>
      <c r="S1" s="32"/>
    </row>
    <row r="2" spans="1:19" ht="30" customHeight="1" x14ac:dyDescent="0.35">
      <c r="A2" s="7" t="s">
        <v>1</v>
      </c>
      <c r="B2" s="7" t="s">
        <v>2</v>
      </c>
      <c r="C2" s="7"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row>
    <row r="3" spans="1:19" ht="14.25" customHeight="1" x14ac:dyDescent="0.35">
      <c r="A3" s="8" t="s">
        <v>20</v>
      </c>
      <c r="B3" s="9" t="s">
        <v>21</v>
      </c>
      <c r="C3" s="9" t="s">
        <v>22</v>
      </c>
      <c r="D3" s="9" t="s">
        <v>23</v>
      </c>
      <c r="E3" s="9" t="s">
        <v>24</v>
      </c>
      <c r="F3" s="9" t="s">
        <v>25</v>
      </c>
      <c r="G3" s="10" t="s">
        <v>26</v>
      </c>
      <c r="H3" s="9" t="s">
        <v>27</v>
      </c>
      <c r="I3" s="9" t="s">
        <v>28</v>
      </c>
      <c r="J3" s="9" t="s">
        <v>29</v>
      </c>
      <c r="K3" s="9" t="s">
        <v>30</v>
      </c>
      <c r="L3" s="9" t="s">
        <v>31</v>
      </c>
      <c r="M3" s="25" t="s">
        <v>32</v>
      </c>
      <c r="N3" s="9" t="s">
        <v>33</v>
      </c>
      <c r="O3" s="9" t="s">
        <v>34</v>
      </c>
      <c r="P3" s="29" t="s">
        <v>35</v>
      </c>
      <c r="Q3" s="9" t="s">
        <v>36</v>
      </c>
      <c r="R3" s="27" t="s">
        <v>37</v>
      </c>
      <c r="S3" s="28" t="s">
        <v>481</v>
      </c>
    </row>
    <row r="4" spans="1:19" ht="14.25" customHeight="1" x14ac:dyDescent="0.35">
      <c r="A4" s="9" t="s">
        <v>38</v>
      </c>
      <c r="B4" s="9" t="s">
        <v>39</v>
      </c>
      <c r="C4" s="9" t="s">
        <v>40</v>
      </c>
      <c r="D4" s="9" t="s">
        <v>41</v>
      </c>
      <c r="E4" s="9" t="s">
        <v>42</v>
      </c>
      <c r="F4" s="9" t="s">
        <v>25</v>
      </c>
      <c r="G4" s="10" t="s">
        <v>26</v>
      </c>
      <c r="H4" s="9" t="s">
        <v>27</v>
      </c>
      <c r="I4" s="9" t="s">
        <v>43</v>
      </c>
      <c r="J4" s="9" t="s">
        <v>44</v>
      </c>
      <c r="K4" t="s">
        <v>45</v>
      </c>
      <c r="L4" s="9" t="s">
        <v>31</v>
      </c>
      <c r="M4" s="25" t="s">
        <v>46</v>
      </c>
      <c r="N4" s="9" t="s">
        <v>33</v>
      </c>
      <c r="O4" s="9" t="s">
        <v>47</v>
      </c>
      <c r="P4" s="13" t="s">
        <v>48</v>
      </c>
      <c r="Q4" s="9" t="s">
        <v>49</v>
      </c>
      <c r="R4" s="26" t="s">
        <v>45</v>
      </c>
      <c r="S4" s="28" t="s">
        <v>482</v>
      </c>
    </row>
    <row r="5" spans="1:19" ht="14.25" customHeight="1" x14ac:dyDescent="0.35">
      <c r="A5" s="9" t="s">
        <v>50</v>
      </c>
      <c r="B5" s="9" t="s">
        <v>51</v>
      </c>
      <c r="C5" s="9" t="s">
        <v>52</v>
      </c>
      <c r="D5" s="9" t="s">
        <v>53</v>
      </c>
      <c r="E5" s="9" t="s">
        <v>54</v>
      </c>
      <c r="F5" s="9" t="s">
        <v>55</v>
      </c>
      <c r="G5" s="10" t="s">
        <v>26</v>
      </c>
      <c r="H5" s="9" t="s">
        <v>56</v>
      </c>
      <c r="I5" s="9" t="s">
        <v>57</v>
      </c>
      <c r="J5" s="9" t="s">
        <v>58</v>
      </c>
      <c r="K5" s="12" t="s">
        <v>59</v>
      </c>
      <c r="L5" s="9" t="s">
        <v>60</v>
      </c>
      <c r="M5" s="25" t="s">
        <v>61</v>
      </c>
      <c r="N5" s="9" t="s">
        <v>33</v>
      </c>
      <c r="O5" s="9" t="s">
        <v>62</v>
      </c>
      <c r="P5" s="9" t="s">
        <v>63</v>
      </c>
      <c r="Q5" s="9" t="s">
        <v>64</v>
      </c>
      <c r="R5" s="26"/>
      <c r="S5" s="28" t="s">
        <v>481</v>
      </c>
    </row>
    <row r="6" spans="1:19" ht="14.25" customHeight="1" x14ac:dyDescent="0.35">
      <c r="A6" s="8" t="s">
        <v>65</v>
      </c>
      <c r="B6" s="9" t="s">
        <v>39</v>
      </c>
      <c r="C6" s="9" t="s">
        <v>66</v>
      </c>
      <c r="D6" s="9" t="s">
        <v>67</v>
      </c>
      <c r="E6" s="9" t="s">
        <v>68</v>
      </c>
      <c r="F6" s="9" t="s">
        <v>69</v>
      </c>
      <c r="G6" s="10" t="s">
        <v>26</v>
      </c>
      <c r="H6" s="9" t="s">
        <v>27</v>
      </c>
      <c r="I6" s="9" t="s">
        <v>28</v>
      </c>
      <c r="J6" s="9" t="s">
        <v>70</v>
      </c>
      <c r="K6" t="s">
        <v>37</v>
      </c>
      <c r="L6" s="9" t="s">
        <v>31</v>
      </c>
      <c r="M6" s="25" t="s">
        <v>71</v>
      </c>
      <c r="N6" s="9" t="s">
        <v>33</v>
      </c>
      <c r="O6" s="9" t="s">
        <v>72</v>
      </c>
      <c r="P6" s="9" t="s">
        <v>73</v>
      </c>
      <c r="Q6" s="9" t="s">
        <v>74</v>
      </c>
      <c r="R6" s="27" t="s">
        <v>37</v>
      </c>
      <c r="S6" s="28" t="s">
        <v>483</v>
      </c>
    </row>
    <row r="7" spans="1:19" ht="14.25" customHeight="1" x14ac:dyDescent="0.35">
      <c r="A7" s="8" t="s">
        <v>75</v>
      </c>
      <c r="B7" s="9" t="s">
        <v>76</v>
      </c>
      <c r="C7" s="9" t="s">
        <v>77</v>
      </c>
      <c r="D7" s="9" t="s">
        <v>78</v>
      </c>
      <c r="E7" s="9" t="s">
        <v>79</v>
      </c>
      <c r="F7" s="9" t="s">
        <v>55</v>
      </c>
      <c r="G7" s="10" t="s">
        <v>26</v>
      </c>
      <c r="H7" s="29" t="s">
        <v>27</v>
      </c>
      <c r="I7" s="9" t="s">
        <v>28</v>
      </c>
      <c r="J7" s="9" t="s">
        <v>80</v>
      </c>
      <c r="K7" t="s">
        <v>81</v>
      </c>
      <c r="L7" s="9" t="s">
        <v>31</v>
      </c>
      <c r="M7" s="25" t="s">
        <v>82</v>
      </c>
      <c r="N7" s="9" t="s">
        <v>33</v>
      </c>
      <c r="O7" s="9" t="s">
        <v>83</v>
      </c>
      <c r="P7" s="9" t="s">
        <v>84</v>
      </c>
      <c r="Q7" s="9" t="s">
        <v>85</v>
      </c>
      <c r="R7" s="27" t="s">
        <v>81</v>
      </c>
      <c r="S7" s="9"/>
    </row>
    <row r="8" spans="1:19" ht="14.25" customHeight="1" x14ac:dyDescent="0.35">
      <c r="A8" s="12" t="s">
        <v>86</v>
      </c>
      <c r="B8" s="9" t="s">
        <v>87</v>
      </c>
      <c r="C8" s="9" t="s">
        <v>88</v>
      </c>
      <c r="D8" s="9" t="s">
        <v>41</v>
      </c>
      <c r="E8" s="9" t="s">
        <v>42</v>
      </c>
      <c r="F8" s="9" t="s">
        <v>25</v>
      </c>
      <c r="G8" s="10" t="s">
        <v>26</v>
      </c>
      <c r="H8" s="29" t="s">
        <v>27</v>
      </c>
      <c r="I8" s="9" t="s">
        <v>43</v>
      </c>
      <c r="J8" s="9" t="s">
        <v>89</v>
      </c>
      <c r="K8" t="s">
        <v>90</v>
      </c>
      <c r="L8" s="9" t="s">
        <v>60</v>
      </c>
      <c r="M8" s="25" t="s">
        <v>91</v>
      </c>
      <c r="N8" s="9" t="s">
        <v>33</v>
      </c>
      <c r="O8" s="9" t="s">
        <v>47</v>
      </c>
      <c r="P8" s="9" t="s">
        <v>92</v>
      </c>
      <c r="Q8" s="9" t="s">
        <v>64</v>
      </c>
      <c r="R8" s="26"/>
      <c r="S8" s="9"/>
    </row>
    <row r="9" spans="1:19" ht="14.25" customHeight="1" x14ac:dyDescent="0.35">
      <c r="A9" s="8" t="s">
        <v>93</v>
      </c>
      <c r="B9" s="9" t="s">
        <v>94</v>
      </c>
      <c r="C9" s="28" t="s">
        <v>95</v>
      </c>
      <c r="D9" s="9" t="s">
        <v>96</v>
      </c>
      <c r="E9" s="9" t="s">
        <v>97</v>
      </c>
      <c r="F9" s="9" t="s">
        <v>25</v>
      </c>
      <c r="G9" s="10" t="s">
        <v>26</v>
      </c>
      <c r="H9" s="29" t="s">
        <v>27</v>
      </c>
      <c r="I9" s="9" t="s">
        <v>98</v>
      </c>
      <c r="J9" s="9" t="s">
        <v>99</v>
      </c>
      <c r="K9" t="s">
        <v>37</v>
      </c>
      <c r="L9" s="9" t="s">
        <v>31</v>
      </c>
      <c r="M9" s="25" t="s">
        <v>100</v>
      </c>
      <c r="N9" s="9" t="s">
        <v>33</v>
      </c>
      <c r="O9" s="9" t="s">
        <v>34</v>
      </c>
      <c r="P9" s="9" t="s">
        <v>101</v>
      </c>
      <c r="Q9" s="9" t="s">
        <v>102</v>
      </c>
      <c r="R9" s="27" t="s">
        <v>37</v>
      </c>
      <c r="S9" s="9"/>
    </row>
    <row r="10" spans="1:19" ht="14.25" customHeight="1" x14ac:dyDescent="0.35">
      <c r="A10" s="8" t="s">
        <v>103</v>
      </c>
      <c r="B10" s="9" t="s">
        <v>104</v>
      </c>
      <c r="C10" s="28" t="s">
        <v>105</v>
      </c>
      <c r="D10" s="9" t="s">
        <v>96</v>
      </c>
      <c r="E10" s="9" t="s">
        <v>97</v>
      </c>
      <c r="F10" s="9" t="s">
        <v>25</v>
      </c>
      <c r="G10" s="10" t="s">
        <v>26</v>
      </c>
      <c r="H10" s="29" t="s">
        <v>27</v>
      </c>
      <c r="I10" s="9" t="s">
        <v>98</v>
      </c>
      <c r="J10" s="9" t="s">
        <v>106</v>
      </c>
      <c r="K10" t="s">
        <v>107</v>
      </c>
      <c r="L10" s="9" t="s">
        <v>31</v>
      </c>
      <c r="M10" s="25" t="s">
        <v>108</v>
      </c>
      <c r="N10" s="9" t="s">
        <v>33</v>
      </c>
      <c r="O10" s="9" t="s">
        <v>34</v>
      </c>
      <c r="P10" s="9" t="s">
        <v>109</v>
      </c>
      <c r="Q10" s="9" t="s">
        <v>102</v>
      </c>
      <c r="R10" s="27" t="s">
        <v>107</v>
      </c>
      <c r="S10" s="9"/>
    </row>
    <row r="11" spans="1:19" ht="14.25" customHeight="1" x14ac:dyDescent="0.35">
      <c r="A11" s="8" t="s">
        <v>110</v>
      </c>
      <c r="B11" s="9" t="s">
        <v>111</v>
      </c>
      <c r="C11" s="9" t="s">
        <v>112</v>
      </c>
      <c r="D11" s="9" t="s">
        <v>113</v>
      </c>
      <c r="E11" s="9" t="s">
        <v>114</v>
      </c>
      <c r="F11" s="9" t="s">
        <v>25</v>
      </c>
      <c r="G11" s="10" t="s">
        <v>26</v>
      </c>
      <c r="H11" s="29" t="s">
        <v>27</v>
      </c>
      <c r="I11" s="9" t="s">
        <v>115</v>
      </c>
      <c r="J11" s="9" t="s">
        <v>116</v>
      </c>
      <c r="K11" t="s">
        <v>117</v>
      </c>
      <c r="L11" s="9" t="s">
        <v>31</v>
      </c>
      <c r="M11" s="25" t="s">
        <v>118</v>
      </c>
      <c r="N11" s="9" t="s">
        <v>33</v>
      </c>
      <c r="O11" s="9" t="s">
        <v>119</v>
      </c>
      <c r="P11" s="9" t="s">
        <v>120</v>
      </c>
      <c r="Q11" s="9" t="s">
        <v>121</v>
      </c>
      <c r="R11" s="27" t="s">
        <v>117</v>
      </c>
      <c r="S11" s="28" t="s">
        <v>484</v>
      </c>
    </row>
    <row r="12" spans="1:19" ht="14.25" customHeight="1" x14ac:dyDescent="0.35">
      <c r="A12" s="8" t="s">
        <v>122</v>
      </c>
      <c r="B12" s="9" t="s">
        <v>59</v>
      </c>
      <c r="C12" s="28" t="s">
        <v>123</v>
      </c>
      <c r="D12" s="9" t="s">
        <v>124</v>
      </c>
      <c r="E12" s="9" t="s">
        <v>125</v>
      </c>
      <c r="F12" s="9" t="s">
        <v>55</v>
      </c>
      <c r="G12" s="10" t="s">
        <v>26</v>
      </c>
      <c r="H12" s="29" t="s">
        <v>27</v>
      </c>
      <c r="I12" s="9" t="s">
        <v>98</v>
      </c>
      <c r="J12" s="9" t="s">
        <v>126</v>
      </c>
      <c r="K12" t="s">
        <v>37</v>
      </c>
      <c r="L12" s="9" t="s">
        <v>31</v>
      </c>
      <c r="M12" s="25" t="s">
        <v>127</v>
      </c>
      <c r="N12" s="9" t="s">
        <v>33</v>
      </c>
      <c r="O12" s="9" t="s">
        <v>128</v>
      </c>
      <c r="P12" s="9" t="s">
        <v>129</v>
      </c>
      <c r="Q12" s="9" t="s">
        <v>130</v>
      </c>
      <c r="R12" s="27" t="s">
        <v>37</v>
      </c>
      <c r="S12" s="9"/>
    </row>
    <row r="13" spans="1:19" ht="14.25" customHeight="1" x14ac:dyDescent="0.35">
      <c r="A13" s="12" t="s">
        <v>131</v>
      </c>
      <c r="B13" s="9" t="s">
        <v>132</v>
      </c>
      <c r="C13" s="28" t="s">
        <v>133</v>
      </c>
      <c r="D13" s="9" t="s">
        <v>134</v>
      </c>
      <c r="E13" s="9" t="s">
        <v>97</v>
      </c>
      <c r="F13" s="9" t="s">
        <v>25</v>
      </c>
      <c r="G13" s="10" t="s">
        <v>26</v>
      </c>
      <c r="H13" s="29" t="s">
        <v>135</v>
      </c>
      <c r="I13" s="9" t="s">
        <v>136</v>
      </c>
      <c r="J13" s="9" t="s">
        <v>137</v>
      </c>
      <c r="K13" t="s">
        <v>138</v>
      </c>
      <c r="L13" s="9" t="s">
        <v>31</v>
      </c>
      <c r="M13" s="11" t="s">
        <v>139</v>
      </c>
      <c r="N13" s="9" t="s">
        <v>33</v>
      </c>
      <c r="O13" s="9" t="s">
        <v>34</v>
      </c>
      <c r="P13" s="9" t="s">
        <v>140</v>
      </c>
      <c r="Q13" s="9" t="s">
        <v>141</v>
      </c>
      <c r="R13" s="26" t="s">
        <v>138</v>
      </c>
      <c r="S13" s="9"/>
    </row>
    <row r="14" spans="1:19" ht="14.25" customHeight="1" x14ac:dyDescent="0.35">
      <c r="A14" s="8" t="s">
        <v>142</v>
      </c>
      <c r="B14" s="9" t="s">
        <v>143</v>
      </c>
      <c r="C14" s="28" t="s">
        <v>144</v>
      </c>
      <c r="D14" s="9" t="s">
        <v>145</v>
      </c>
      <c r="E14" s="9" t="s">
        <v>54</v>
      </c>
      <c r="F14" s="9" t="s">
        <v>25</v>
      </c>
      <c r="G14" s="10" t="s">
        <v>26</v>
      </c>
      <c r="H14" s="29" t="s">
        <v>135</v>
      </c>
      <c r="I14" s="9" t="s">
        <v>146</v>
      </c>
      <c r="J14" s="9" t="s">
        <v>70</v>
      </c>
      <c r="K14" t="s">
        <v>37</v>
      </c>
      <c r="L14" s="9" t="s">
        <v>31</v>
      </c>
      <c r="M14" s="11" t="s">
        <v>147</v>
      </c>
      <c r="N14" s="9" t="s">
        <v>33</v>
      </c>
      <c r="O14" s="9" t="s">
        <v>34</v>
      </c>
      <c r="P14" s="9" t="s">
        <v>148</v>
      </c>
      <c r="Q14" s="9" t="s">
        <v>149</v>
      </c>
      <c r="R14" s="27" t="s">
        <v>37</v>
      </c>
      <c r="S14" s="9"/>
    </row>
    <row r="15" spans="1:19" ht="14.25" customHeight="1" x14ac:dyDescent="0.35">
      <c r="A15" s="14" t="s">
        <v>150</v>
      </c>
      <c r="B15" s="14" t="s">
        <v>59</v>
      </c>
      <c r="C15" s="14" t="s">
        <v>151</v>
      </c>
      <c r="D15" s="14" t="s">
        <v>152</v>
      </c>
      <c r="E15" s="14" t="s">
        <v>153</v>
      </c>
      <c r="F15" s="14" t="s">
        <v>55</v>
      </c>
      <c r="G15" s="10" t="s">
        <v>26</v>
      </c>
      <c r="H15" s="14" t="s">
        <v>27</v>
      </c>
      <c r="I15" s="14" t="s">
        <v>154</v>
      </c>
      <c r="J15" s="14" t="s">
        <v>155</v>
      </c>
      <c r="K15" s="14" t="s">
        <v>37</v>
      </c>
      <c r="L15" s="14" t="s">
        <v>31</v>
      </c>
      <c r="M15" s="15" t="s">
        <v>156</v>
      </c>
      <c r="N15" s="14" t="s">
        <v>33</v>
      </c>
      <c r="O15" s="14" t="s">
        <v>157</v>
      </c>
      <c r="P15" s="14" t="s">
        <v>158</v>
      </c>
      <c r="Q15" s="14" t="s">
        <v>159</v>
      </c>
      <c r="R15" s="14" t="s">
        <v>37</v>
      </c>
      <c r="S15" s="30" t="s">
        <v>485</v>
      </c>
    </row>
    <row r="16" spans="1:19" ht="14.25" customHeight="1" x14ac:dyDescent="0.35"/>
  </sheetData>
  <autoFilter ref="A2:S15" xr:uid="{00000000-0009-0000-0000-000003000000}"/>
  <mergeCells count="1">
    <mergeCell ref="A1:S1"/>
  </mergeCells>
  <dataValidations count="3">
    <dataValidation type="list" allowBlank="1" sqref="L3:L14 L16:L993" xr:uid="{00000000-0002-0000-0300-000000000000}">
      <formula1>"PASS,FLAG,PASS TO KANVESH,PASS TO MADDY,FAIL,NEEDS VICTORIA INPUT"</formula1>
      <formula2>0</formula2>
    </dataValidation>
    <dataValidation type="list" allowBlank="1" sqref="M3:M14 M16:M993" xr:uid="{00000000-0002-0000-0300-000001000000}">
      <formula1>"HIGH,MED,LOW,UNVERIFIED,N/A"</formula1>
      <formula2>0</formula2>
    </dataValidation>
    <dataValidation type="list" allowBlank="1" sqref="N3:N14 N16:N993" xr:uid="{00000000-0002-0000-0300-000002000000}">
      <formula1>"Direct Procurement,Framework Entry Bid,Framework Call-off (BLOCKED),Unconfirmed"</formula1>
      <formula2>0</formula2>
    </dataValidation>
  </dataValidations>
  <hyperlinks>
    <hyperlink ref="G3" r:id="rId1" xr:uid="{00000000-0004-0000-0300-000000000000}"/>
    <hyperlink ref="G4" r:id="rId2" xr:uid="{00000000-0004-0000-0300-000001000000}"/>
    <hyperlink ref="G5" r:id="rId3" xr:uid="{00000000-0004-0000-0300-000002000000}"/>
    <hyperlink ref="G6" r:id="rId4" xr:uid="{00000000-0004-0000-0300-000003000000}"/>
    <hyperlink ref="G7" r:id="rId5" xr:uid="{00000000-0004-0000-0300-000004000000}"/>
    <hyperlink ref="G8" r:id="rId6" xr:uid="{00000000-0004-0000-0300-000005000000}"/>
    <hyperlink ref="G9" r:id="rId7" xr:uid="{00000000-0004-0000-0300-000006000000}"/>
    <hyperlink ref="G10" r:id="rId8" xr:uid="{00000000-0004-0000-0300-000007000000}"/>
    <hyperlink ref="G11" r:id="rId9" xr:uid="{00000000-0004-0000-0300-000008000000}"/>
    <hyperlink ref="G12" r:id="rId10" xr:uid="{00000000-0004-0000-0300-000009000000}"/>
    <hyperlink ref="G13" r:id="rId11" xr:uid="{00000000-0004-0000-0300-00000A000000}"/>
    <hyperlink ref="G14" r:id="rId12" xr:uid="{00000000-0004-0000-0300-00000B000000}"/>
    <hyperlink ref="G15" r:id="rId13" xr:uid="{00000000-0004-0000-0300-00000C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1"/>
  <sheetViews>
    <sheetView topLeftCell="A5" zoomScaleNormal="100" workbookViewId="0">
      <selection activeCell="Q25" sqref="Q25"/>
    </sheetView>
  </sheetViews>
  <sheetFormatPr defaultColWidth="8.6328125" defaultRowHeight="14.5" x14ac:dyDescent="0.35"/>
  <cols>
    <col min="1" max="2" width="20" customWidth="1"/>
    <col min="3" max="3" width="32" customWidth="1"/>
    <col min="4" max="15" width="20" customWidth="1"/>
    <col min="16" max="16" width="34" customWidth="1"/>
    <col min="17" max="18" width="20" customWidth="1"/>
    <col min="19" max="19" width="34" customWidth="1"/>
  </cols>
  <sheetData>
    <row r="1" spans="1:19" ht="24" customHeight="1" x14ac:dyDescent="0.35">
      <c r="A1" s="31" t="s">
        <v>203</v>
      </c>
      <c r="B1" s="32"/>
      <c r="C1" s="32"/>
      <c r="D1" s="32"/>
      <c r="E1" s="32"/>
      <c r="F1" s="32"/>
      <c r="G1" s="32"/>
      <c r="H1" s="32"/>
      <c r="I1" s="32"/>
      <c r="J1" s="32"/>
      <c r="K1" s="32"/>
      <c r="L1" s="32"/>
      <c r="M1" s="32"/>
      <c r="N1" s="32"/>
      <c r="O1" s="32"/>
      <c r="P1" s="32"/>
      <c r="Q1" s="32"/>
      <c r="R1" s="32"/>
      <c r="S1" s="32"/>
    </row>
    <row r="2" spans="1:19" ht="30" customHeight="1" x14ac:dyDescent="0.35">
      <c r="A2" s="7" t="s">
        <v>1</v>
      </c>
      <c r="B2" s="7" t="s">
        <v>2</v>
      </c>
      <c r="C2" s="7"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row>
    <row r="3" spans="1:19" ht="14.25" customHeight="1" x14ac:dyDescent="0.35">
      <c r="A3" s="9" t="s">
        <v>204</v>
      </c>
      <c r="B3" s="9" t="s">
        <v>21</v>
      </c>
      <c r="C3" s="9" t="s">
        <v>205</v>
      </c>
      <c r="D3" s="9" t="s">
        <v>206</v>
      </c>
      <c r="E3" s="9" t="s">
        <v>207</v>
      </c>
      <c r="F3" s="9" t="s">
        <v>55</v>
      </c>
      <c r="G3" s="10" t="s">
        <v>26</v>
      </c>
      <c r="H3" s="9" t="s">
        <v>208</v>
      </c>
      <c r="I3" s="9" t="s">
        <v>209</v>
      </c>
      <c r="J3" s="9" t="s">
        <v>210</v>
      </c>
      <c r="K3" s="9" t="s">
        <v>211</v>
      </c>
      <c r="L3" s="9" t="s">
        <v>212</v>
      </c>
      <c r="M3" s="11" t="s">
        <v>213</v>
      </c>
      <c r="N3" s="9" t="s">
        <v>214</v>
      </c>
      <c r="O3" s="9" t="s">
        <v>47</v>
      </c>
      <c r="P3" s="9" t="s">
        <v>215</v>
      </c>
      <c r="Q3" s="9" t="s">
        <v>216</v>
      </c>
      <c r="R3" s="9"/>
      <c r="S3" s="9"/>
    </row>
    <row r="4" spans="1:19" ht="14.25" customHeight="1" x14ac:dyDescent="0.35">
      <c r="A4" s="9" t="s">
        <v>217</v>
      </c>
      <c r="B4" s="9" t="s">
        <v>218</v>
      </c>
      <c r="C4" s="9" t="s">
        <v>219</v>
      </c>
      <c r="D4" s="9" t="s">
        <v>41</v>
      </c>
      <c r="E4" s="9" t="s">
        <v>42</v>
      </c>
      <c r="F4" s="9" t="s">
        <v>25</v>
      </c>
      <c r="G4" s="10" t="s">
        <v>26</v>
      </c>
      <c r="H4" s="9" t="s">
        <v>135</v>
      </c>
      <c r="I4" s="9" t="s">
        <v>220</v>
      </c>
      <c r="J4" s="9" t="s">
        <v>221</v>
      </c>
      <c r="K4" s="9" t="s">
        <v>117</v>
      </c>
      <c r="L4" s="9" t="s">
        <v>212</v>
      </c>
      <c r="M4" s="11" t="s">
        <v>222</v>
      </c>
      <c r="N4" s="9" t="s">
        <v>214</v>
      </c>
      <c r="O4" s="9" t="s">
        <v>47</v>
      </c>
      <c r="P4" s="9" t="s">
        <v>223</v>
      </c>
      <c r="Q4" s="9" t="s">
        <v>216</v>
      </c>
      <c r="R4" s="9"/>
      <c r="S4" s="9"/>
    </row>
    <row r="5" spans="1:19" ht="14.25" customHeight="1" x14ac:dyDescent="0.35">
      <c r="A5" s="9" t="s">
        <v>224</v>
      </c>
      <c r="B5" s="9" t="s">
        <v>39</v>
      </c>
      <c r="C5" s="9" t="s">
        <v>225</v>
      </c>
      <c r="D5" s="9" t="s">
        <v>226</v>
      </c>
      <c r="E5" s="9" t="s">
        <v>79</v>
      </c>
      <c r="F5" s="9" t="s">
        <v>25</v>
      </c>
      <c r="G5" s="10" t="s">
        <v>26</v>
      </c>
      <c r="H5" s="9" t="s">
        <v>135</v>
      </c>
      <c r="I5" s="9" t="s">
        <v>227</v>
      </c>
      <c r="J5" s="9" t="s">
        <v>228</v>
      </c>
      <c r="K5" s="9" t="s">
        <v>229</v>
      </c>
      <c r="L5" s="9" t="s">
        <v>212</v>
      </c>
      <c r="M5" s="11" t="s">
        <v>230</v>
      </c>
      <c r="N5" s="9" t="s">
        <v>214</v>
      </c>
      <c r="O5" s="9" t="s">
        <v>157</v>
      </c>
      <c r="P5" s="9" t="s">
        <v>231</v>
      </c>
      <c r="Q5" s="9" t="s">
        <v>216</v>
      </c>
      <c r="R5" s="9"/>
      <c r="S5" s="9"/>
    </row>
    <row r="6" spans="1:19" ht="14.25" customHeight="1" x14ac:dyDescent="0.35">
      <c r="A6" s="9" t="s">
        <v>232</v>
      </c>
      <c r="B6" s="9" t="s">
        <v>233</v>
      </c>
      <c r="C6" s="9" t="s">
        <v>234</v>
      </c>
      <c r="D6" s="9" t="s">
        <v>235</v>
      </c>
      <c r="E6" s="9" t="s">
        <v>236</v>
      </c>
      <c r="F6" s="9" t="s">
        <v>25</v>
      </c>
      <c r="G6" s="10" t="s">
        <v>26</v>
      </c>
      <c r="H6" s="9" t="s">
        <v>135</v>
      </c>
      <c r="I6" s="9" t="s">
        <v>237</v>
      </c>
      <c r="J6" s="9" t="s">
        <v>137</v>
      </c>
      <c r="K6" s="9" t="s">
        <v>117</v>
      </c>
      <c r="L6" s="9" t="s">
        <v>212</v>
      </c>
      <c r="M6" s="11" t="s">
        <v>238</v>
      </c>
      <c r="N6" s="9" t="s">
        <v>214</v>
      </c>
      <c r="O6" s="9" t="s">
        <v>34</v>
      </c>
      <c r="P6" s="13" t="s">
        <v>239</v>
      </c>
      <c r="Q6" s="9" t="s">
        <v>216</v>
      </c>
      <c r="R6" s="9"/>
      <c r="S6" s="9"/>
    </row>
    <row r="7" spans="1:19" ht="14.25" customHeight="1" x14ac:dyDescent="0.35">
      <c r="A7" s="9" t="s">
        <v>240</v>
      </c>
      <c r="B7" s="9" t="s">
        <v>241</v>
      </c>
      <c r="C7" s="9" t="s">
        <v>242</v>
      </c>
      <c r="D7" s="9" t="s">
        <v>243</v>
      </c>
      <c r="E7" s="9" t="s">
        <v>244</v>
      </c>
      <c r="F7" s="9" t="s">
        <v>245</v>
      </c>
      <c r="G7" s="10" t="s">
        <v>26</v>
      </c>
      <c r="H7" s="9" t="s">
        <v>246</v>
      </c>
      <c r="I7" s="9" t="s">
        <v>247</v>
      </c>
      <c r="J7" s="9" t="s">
        <v>228</v>
      </c>
      <c r="K7" s="9" t="s">
        <v>248</v>
      </c>
      <c r="L7" s="9" t="s">
        <v>212</v>
      </c>
      <c r="M7" s="11" t="s">
        <v>249</v>
      </c>
      <c r="N7" s="9" t="s">
        <v>214</v>
      </c>
      <c r="O7" s="9" t="s">
        <v>250</v>
      </c>
      <c r="P7" s="13" t="s">
        <v>251</v>
      </c>
      <c r="Q7" s="9" t="s">
        <v>216</v>
      </c>
      <c r="R7" s="9"/>
      <c r="S7" s="9"/>
    </row>
    <row r="8" spans="1:19" ht="14.25" customHeight="1" x14ac:dyDescent="0.35">
      <c r="A8" s="9" t="s">
        <v>252</v>
      </c>
      <c r="B8" s="9" t="s">
        <v>253</v>
      </c>
      <c r="C8" s="9" t="s">
        <v>254</v>
      </c>
      <c r="D8" s="9" t="s">
        <v>255</v>
      </c>
      <c r="E8" s="9" t="s">
        <v>244</v>
      </c>
      <c r="F8" s="9" t="s">
        <v>245</v>
      </c>
      <c r="G8" s="10" t="s">
        <v>26</v>
      </c>
      <c r="H8" s="9" t="s">
        <v>135</v>
      </c>
      <c r="I8" s="9" t="s">
        <v>256</v>
      </c>
      <c r="J8" s="9" t="s">
        <v>257</v>
      </c>
      <c r="K8" s="9" t="s">
        <v>111</v>
      </c>
      <c r="L8" s="9" t="s">
        <v>212</v>
      </c>
      <c r="M8" s="11" t="s">
        <v>258</v>
      </c>
      <c r="N8" s="9" t="s">
        <v>214</v>
      </c>
      <c r="O8" s="9" t="s">
        <v>250</v>
      </c>
      <c r="P8" s="13" t="s">
        <v>259</v>
      </c>
      <c r="Q8" s="9" t="s">
        <v>216</v>
      </c>
      <c r="R8" s="9"/>
      <c r="S8" s="9"/>
    </row>
    <row r="9" spans="1:19" ht="14.25" customHeight="1" x14ac:dyDescent="0.35">
      <c r="A9" s="9" t="s">
        <v>260</v>
      </c>
      <c r="B9" s="9" t="s">
        <v>261</v>
      </c>
      <c r="C9" s="9" t="s">
        <v>262</v>
      </c>
      <c r="D9" s="9" t="s">
        <v>263</v>
      </c>
      <c r="E9" s="9" t="s">
        <v>264</v>
      </c>
      <c r="F9" s="9" t="s">
        <v>245</v>
      </c>
      <c r="G9" s="10" t="s">
        <v>26</v>
      </c>
      <c r="H9" s="9" t="s">
        <v>27</v>
      </c>
      <c r="I9" s="9" t="s">
        <v>265</v>
      </c>
      <c r="J9" s="9" t="s">
        <v>266</v>
      </c>
      <c r="K9" s="9" t="s">
        <v>132</v>
      </c>
      <c r="L9" s="9" t="s">
        <v>212</v>
      </c>
      <c r="M9" s="11" t="s">
        <v>267</v>
      </c>
      <c r="N9" s="9" t="s">
        <v>214</v>
      </c>
      <c r="O9" s="9" t="s">
        <v>268</v>
      </c>
      <c r="P9" s="9" t="s">
        <v>269</v>
      </c>
      <c r="Q9" s="9" t="s">
        <v>216</v>
      </c>
      <c r="R9" s="9"/>
      <c r="S9" s="9"/>
    </row>
    <row r="10" spans="1:19" ht="14.25" customHeight="1" x14ac:dyDescent="0.35">
      <c r="A10" s="9" t="s">
        <v>270</v>
      </c>
      <c r="B10" s="9" t="s">
        <v>271</v>
      </c>
      <c r="C10" s="9" t="s">
        <v>272</v>
      </c>
      <c r="D10" s="9" t="s">
        <v>273</v>
      </c>
      <c r="E10" s="9" t="s">
        <v>97</v>
      </c>
      <c r="F10" s="9" t="s">
        <v>25</v>
      </c>
      <c r="G10" s="10" t="s">
        <v>26</v>
      </c>
      <c r="H10" s="9" t="s">
        <v>135</v>
      </c>
      <c r="I10" s="9" t="s">
        <v>274</v>
      </c>
      <c r="J10" s="9" t="s">
        <v>275</v>
      </c>
      <c r="K10" s="9" t="s">
        <v>276</v>
      </c>
      <c r="L10" s="9" t="s">
        <v>212</v>
      </c>
      <c r="M10" s="11" t="s">
        <v>277</v>
      </c>
      <c r="N10" s="9" t="s">
        <v>214</v>
      </c>
      <c r="O10" s="9" t="s">
        <v>34</v>
      </c>
      <c r="P10" s="9" t="s">
        <v>278</v>
      </c>
      <c r="Q10" s="9" t="s">
        <v>216</v>
      </c>
      <c r="R10" s="9"/>
      <c r="S10" s="9"/>
    </row>
    <row r="11" spans="1:19" ht="14.25" customHeight="1" x14ac:dyDescent="0.35">
      <c r="A11" s="9" t="s">
        <v>279</v>
      </c>
      <c r="B11" s="9" t="s">
        <v>280</v>
      </c>
      <c r="C11" s="9" t="s">
        <v>281</v>
      </c>
      <c r="D11" s="9" t="s">
        <v>282</v>
      </c>
      <c r="E11" s="9" t="s">
        <v>97</v>
      </c>
      <c r="F11" s="9" t="s">
        <v>25</v>
      </c>
      <c r="G11" s="10" t="s">
        <v>26</v>
      </c>
      <c r="H11" s="9" t="s">
        <v>27</v>
      </c>
      <c r="I11" s="9" t="s">
        <v>283</v>
      </c>
      <c r="J11" s="9" t="s">
        <v>284</v>
      </c>
      <c r="K11" s="9" t="s">
        <v>285</v>
      </c>
      <c r="L11" s="9" t="s">
        <v>212</v>
      </c>
      <c r="M11" s="11" t="s">
        <v>277</v>
      </c>
      <c r="N11" s="9" t="s">
        <v>214</v>
      </c>
      <c r="O11" s="9" t="s">
        <v>34</v>
      </c>
      <c r="P11" s="13" t="s">
        <v>286</v>
      </c>
      <c r="Q11" s="9" t="s">
        <v>216</v>
      </c>
      <c r="R11" s="9"/>
      <c r="S11" s="9"/>
    </row>
    <row r="12" spans="1:19" ht="14.25" customHeight="1" x14ac:dyDescent="0.35">
      <c r="A12" s="9" t="s">
        <v>287</v>
      </c>
      <c r="B12" s="9" t="s">
        <v>288</v>
      </c>
      <c r="C12" s="9" t="s">
        <v>289</v>
      </c>
      <c r="D12" s="9" t="s">
        <v>290</v>
      </c>
      <c r="E12" s="9" t="s">
        <v>79</v>
      </c>
      <c r="F12" s="9" t="s">
        <v>25</v>
      </c>
      <c r="G12" s="10" t="s">
        <v>26</v>
      </c>
      <c r="H12" s="9" t="s">
        <v>27</v>
      </c>
      <c r="I12" s="9" t="s">
        <v>291</v>
      </c>
      <c r="J12" s="9" t="s">
        <v>292</v>
      </c>
      <c r="K12" s="9" t="s">
        <v>293</v>
      </c>
      <c r="L12" s="9" t="s">
        <v>212</v>
      </c>
      <c r="M12" s="11" t="s">
        <v>294</v>
      </c>
      <c r="N12" s="9" t="s">
        <v>214</v>
      </c>
      <c r="O12" s="9" t="s">
        <v>157</v>
      </c>
      <c r="P12" s="9" t="s">
        <v>295</v>
      </c>
      <c r="Q12" s="9" t="s">
        <v>216</v>
      </c>
      <c r="R12" s="9"/>
      <c r="S12" s="9"/>
    </row>
    <row r="13" spans="1:19" ht="14.25" customHeight="1" x14ac:dyDescent="0.35">
      <c r="A13" s="9" t="s">
        <v>296</v>
      </c>
      <c r="B13" s="9" t="s">
        <v>297</v>
      </c>
      <c r="C13" s="9" t="s">
        <v>298</v>
      </c>
      <c r="D13" s="9" t="s">
        <v>124</v>
      </c>
      <c r="E13" s="9" t="s">
        <v>244</v>
      </c>
      <c r="F13" s="9" t="s">
        <v>245</v>
      </c>
      <c r="G13" s="10" t="s">
        <v>26</v>
      </c>
      <c r="H13" s="9" t="s">
        <v>299</v>
      </c>
      <c r="I13" s="9" t="s">
        <v>300</v>
      </c>
      <c r="J13" s="9" t="s">
        <v>228</v>
      </c>
      <c r="K13" s="9" t="s">
        <v>301</v>
      </c>
      <c r="L13" s="9" t="s">
        <v>212</v>
      </c>
      <c r="M13" s="11" t="s">
        <v>302</v>
      </c>
      <c r="N13" s="9" t="s">
        <v>214</v>
      </c>
      <c r="O13" s="9" t="s">
        <v>303</v>
      </c>
      <c r="P13" s="13" t="s">
        <v>304</v>
      </c>
      <c r="Q13" s="9" t="s">
        <v>305</v>
      </c>
      <c r="R13" s="9"/>
      <c r="S13" s="9"/>
    </row>
    <row r="14" spans="1:19" ht="14.25" customHeight="1" x14ac:dyDescent="0.35">
      <c r="A14" s="9" t="s">
        <v>306</v>
      </c>
      <c r="B14" s="9" t="s">
        <v>307</v>
      </c>
      <c r="C14" s="9" t="s">
        <v>308</v>
      </c>
      <c r="D14" s="9" t="s">
        <v>309</v>
      </c>
      <c r="E14" s="9" t="s">
        <v>114</v>
      </c>
      <c r="F14" s="9" t="s">
        <v>25</v>
      </c>
      <c r="G14" s="10" t="s">
        <v>26</v>
      </c>
      <c r="H14" s="9" t="s">
        <v>135</v>
      </c>
      <c r="I14" s="9" t="s">
        <v>310</v>
      </c>
      <c r="J14" s="9" t="s">
        <v>311</v>
      </c>
      <c r="K14" s="9" t="s">
        <v>117</v>
      </c>
      <c r="L14" s="9" t="s">
        <v>212</v>
      </c>
      <c r="M14" s="11" t="s">
        <v>312</v>
      </c>
      <c r="N14" s="9" t="s">
        <v>214</v>
      </c>
      <c r="O14" s="9" t="s">
        <v>119</v>
      </c>
      <c r="P14" s="9" t="s">
        <v>313</v>
      </c>
      <c r="Q14" s="9" t="s">
        <v>216</v>
      </c>
      <c r="R14" s="9"/>
      <c r="S14" s="9"/>
    </row>
    <row r="15" spans="1:19" ht="14.25" customHeight="1" x14ac:dyDescent="0.35">
      <c r="A15" s="9" t="s">
        <v>314</v>
      </c>
      <c r="B15" s="9" t="s">
        <v>276</v>
      </c>
      <c r="C15" s="9" t="s">
        <v>315</v>
      </c>
      <c r="D15" s="9" t="s">
        <v>316</v>
      </c>
      <c r="E15" s="9" t="s">
        <v>317</v>
      </c>
      <c r="F15" s="9" t="s">
        <v>25</v>
      </c>
      <c r="G15" s="10" t="s">
        <v>26</v>
      </c>
      <c r="H15" s="9" t="s">
        <v>318</v>
      </c>
      <c r="I15" s="9" t="s">
        <v>319</v>
      </c>
      <c r="J15" s="9" t="s">
        <v>320</v>
      </c>
      <c r="K15" s="9" t="s">
        <v>321</v>
      </c>
      <c r="L15" s="9" t="s">
        <v>212</v>
      </c>
      <c r="M15" s="11" t="s">
        <v>322</v>
      </c>
      <c r="N15" s="9" t="s">
        <v>214</v>
      </c>
      <c r="O15" s="9" t="s">
        <v>34</v>
      </c>
      <c r="P15" s="9" t="s">
        <v>323</v>
      </c>
      <c r="Q15" s="9" t="s">
        <v>216</v>
      </c>
      <c r="R15" s="9"/>
      <c r="S15" s="9"/>
    </row>
    <row r="16" spans="1:19" ht="14.25" customHeight="1" x14ac:dyDescent="0.35">
      <c r="A16" s="9" t="s">
        <v>324</v>
      </c>
      <c r="B16" s="9" t="s">
        <v>143</v>
      </c>
      <c r="C16" s="9" t="s">
        <v>325</v>
      </c>
      <c r="D16" s="9" t="s">
        <v>326</v>
      </c>
      <c r="E16" s="9" t="s">
        <v>327</v>
      </c>
      <c r="F16" s="9" t="s">
        <v>328</v>
      </c>
      <c r="G16" s="10" t="s">
        <v>26</v>
      </c>
      <c r="H16" s="9" t="s">
        <v>135</v>
      </c>
      <c r="I16" s="9" t="s">
        <v>115</v>
      </c>
      <c r="J16" s="9" t="s">
        <v>329</v>
      </c>
      <c r="K16" s="9" t="s">
        <v>37</v>
      </c>
      <c r="L16" s="9" t="s">
        <v>212</v>
      </c>
      <c r="M16" s="11" t="s">
        <v>330</v>
      </c>
      <c r="N16" s="9" t="s">
        <v>214</v>
      </c>
      <c r="O16" s="9" t="s">
        <v>331</v>
      </c>
      <c r="P16" s="13" t="s">
        <v>332</v>
      </c>
      <c r="Q16" s="9" t="s">
        <v>216</v>
      </c>
      <c r="R16" s="9"/>
      <c r="S16" s="9"/>
    </row>
    <row r="17" spans="1:19" ht="14.25" customHeight="1" x14ac:dyDescent="0.35">
      <c r="A17" s="9" t="s">
        <v>333</v>
      </c>
      <c r="B17" s="9" t="s">
        <v>334</v>
      </c>
      <c r="C17" s="9" t="s">
        <v>335</v>
      </c>
      <c r="D17" s="9" t="s">
        <v>41</v>
      </c>
      <c r="E17" s="9" t="s">
        <v>42</v>
      </c>
      <c r="F17" s="9" t="s">
        <v>25</v>
      </c>
      <c r="G17" s="10" t="s">
        <v>26</v>
      </c>
      <c r="H17" s="9" t="s">
        <v>135</v>
      </c>
      <c r="I17" s="9" t="s">
        <v>336</v>
      </c>
      <c r="J17" s="9" t="s">
        <v>337</v>
      </c>
      <c r="K17" s="9" t="s">
        <v>338</v>
      </c>
      <c r="L17" s="9" t="s">
        <v>212</v>
      </c>
      <c r="M17" s="11" t="s">
        <v>339</v>
      </c>
      <c r="N17" s="9" t="s">
        <v>214</v>
      </c>
      <c r="O17" s="9" t="s">
        <v>47</v>
      </c>
      <c r="P17" s="13" t="s">
        <v>340</v>
      </c>
      <c r="Q17" s="9" t="s">
        <v>216</v>
      </c>
      <c r="R17" s="9"/>
      <c r="S17" s="9"/>
    </row>
    <row r="18" spans="1:19" ht="14.25" customHeight="1" x14ac:dyDescent="0.35">
      <c r="A18" s="14" t="s">
        <v>341</v>
      </c>
      <c r="B18" s="14" t="s">
        <v>241</v>
      </c>
      <c r="C18" s="14" t="s">
        <v>342</v>
      </c>
      <c r="D18" s="14" t="s">
        <v>206</v>
      </c>
      <c r="E18" s="14" t="s">
        <v>207</v>
      </c>
      <c r="F18" s="14" t="s">
        <v>55</v>
      </c>
      <c r="G18" s="10" t="s">
        <v>26</v>
      </c>
      <c r="H18" s="14" t="s">
        <v>135</v>
      </c>
      <c r="I18" s="14" t="s">
        <v>343</v>
      </c>
      <c r="J18" s="14" t="s">
        <v>311</v>
      </c>
      <c r="K18" s="14" t="s">
        <v>285</v>
      </c>
      <c r="L18" s="14" t="s">
        <v>212</v>
      </c>
      <c r="M18" s="15" t="s">
        <v>344</v>
      </c>
      <c r="N18" s="14" t="s">
        <v>214</v>
      </c>
      <c r="O18" s="14" t="s">
        <v>47</v>
      </c>
      <c r="P18" s="14" t="s">
        <v>345</v>
      </c>
      <c r="Q18" s="14" t="s">
        <v>346</v>
      </c>
      <c r="R18" s="14"/>
      <c r="S18" s="14"/>
    </row>
    <row r="19" spans="1:19" ht="14.25" customHeight="1" x14ac:dyDescent="0.35">
      <c r="A19" s="9" t="s">
        <v>347</v>
      </c>
      <c r="B19" s="9" t="s">
        <v>348</v>
      </c>
      <c r="C19" s="9" t="s">
        <v>349</v>
      </c>
      <c r="D19" s="9" t="s">
        <v>350</v>
      </c>
      <c r="E19" s="9" t="s">
        <v>207</v>
      </c>
      <c r="F19" s="9" t="s">
        <v>55</v>
      </c>
      <c r="G19" s="10" t="s">
        <v>26</v>
      </c>
      <c r="H19" s="9" t="s">
        <v>56</v>
      </c>
      <c r="I19" s="9" t="s">
        <v>43</v>
      </c>
      <c r="J19" s="9" t="s">
        <v>351</v>
      </c>
      <c r="K19" s="13" t="s">
        <v>111</v>
      </c>
      <c r="L19" s="9" t="s">
        <v>60</v>
      </c>
      <c r="M19" s="11" t="s">
        <v>352</v>
      </c>
      <c r="N19" s="9" t="s">
        <v>33</v>
      </c>
      <c r="O19" s="9" t="s">
        <v>47</v>
      </c>
      <c r="P19" s="9" t="s">
        <v>353</v>
      </c>
      <c r="Q19" s="16" t="s">
        <v>346</v>
      </c>
      <c r="R19" s="9"/>
      <c r="S19" s="9"/>
    </row>
    <row r="20" spans="1:19" ht="14.25" customHeight="1" x14ac:dyDescent="0.35">
      <c r="A20" s="9" t="s">
        <v>354</v>
      </c>
      <c r="B20" s="9" t="s">
        <v>355</v>
      </c>
      <c r="C20" s="9" t="s">
        <v>356</v>
      </c>
      <c r="D20" s="9" t="s">
        <v>357</v>
      </c>
      <c r="E20" s="9" t="s">
        <v>358</v>
      </c>
      <c r="F20" s="9" t="s">
        <v>328</v>
      </c>
      <c r="G20" s="10" t="s">
        <v>26</v>
      </c>
      <c r="H20" s="9" t="s">
        <v>27</v>
      </c>
      <c r="I20" s="9" t="s">
        <v>359</v>
      </c>
      <c r="J20" s="9" t="s">
        <v>228</v>
      </c>
      <c r="K20" s="13" t="s">
        <v>334</v>
      </c>
      <c r="L20" s="9" t="s">
        <v>60</v>
      </c>
      <c r="M20" s="11" t="s">
        <v>360</v>
      </c>
      <c r="N20" s="9" t="s">
        <v>33</v>
      </c>
      <c r="O20" s="9" t="s">
        <v>361</v>
      </c>
      <c r="P20" s="17" t="s">
        <v>362</v>
      </c>
      <c r="Q20" s="16" t="s">
        <v>346</v>
      </c>
      <c r="R20" s="9"/>
      <c r="S20" s="9"/>
    </row>
    <row r="21" spans="1:19" ht="14.25" customHeight="1" x14ac:dyDescent="0.35">
      <c r="A21" s="9" t="s">
        <v>363</v>
      </c>
      <c r="B21" s="9" t="s">
        <v>364</v>
      </c>
      <c r="C21" s="9" t="s">
        <v>365</v>
      </c>
      <c r="D21" s="9" t="s">
        <v>357</v>
      </c>
      <c r="E21" s="9" t="s">
        <v>358</v>
      </c>
      <c r="F21" s="9" t="s">
        <v>328</v>
      </c>
      <c r="G21" s="10" t="s">
        <v>26</v>
      </c>
      <c r="H21" s="9" t="s">
        <v>27</v>
      </c>
      <c r="I21" s="9" t="s">
        <v>366</v>
      </c>
      <c r="J21" s="9" t="s">
        <v>367</v>
      </c>
      <c r="K21" t="s">
        <v>132</v>
      </c>
      <c r="L21" s="9" t="s">
        <v>60</v>
      </c>
      <c r="M21" s="11" t="s">
        <v>360</v>
      </c>
      <c r="N21" s="9" t="s">
        <v>33</v>
      </c>
      <c r="O21" s="9" t="s">
        <v>361</v>
      </c>
      <c r="P21" s="9" t="s">
        <v>368</v>
      </c>
      <c r="Q21" s="16" t="s">
        <v>346</v>
      </c>
      <c r="R21" s="9"/>
      <c r="S21" s="9"/>
    </row>
    <row r="22" spans="1:19" ht="14.25" customHeight="1" x14ac:dyDescent="0.35">
      <c r="A22" s="9" t="s">
        <v>369</v>
      </c>
      <c r="B22" s="9" t="s">
        <v>370</v>
      </c>
      <c r="C22" s="9" t="s">
        <v>371</v>
      </c>
      <c r="D22" s="9" t="s">
        <v>372</v>
      </c>
      <c r="E22" s="9" t="s">
        <v>79</v>
      </c>
      <c r="F22" s="9" t="s">
        <v>55</v>
      </c>
      <c r="G22" s="10" t="s">
        <v>26</v>
      </c>
      <c r="H22" s="9" t="s">
        <v>135</v>
      </c>
      <c r="I22" s="9" t="s">
        <v>373</v>
      </c>
      <c r="J22" s="9" t="s">
        <v>374</v>
      </c>
      <c r="K22" t="s">
        <v>104</v>
      </c>
      <c r="L22" s="9" t="s">
        <v>60</v>
      </c>
      <c r="M22" s="11" t="s">
        <v>375</v>
      </c>
      <c r="N22" s="9" t="s">
        <v>376</v>
      </c>
      <c r="O22" s="9" t="s">
        <v>377</v>
      </c>
      <c r="P22" s="9" t="s">
        <v>378</v>
      </c>
      <c r="Q22" s="16" t="s">
        <v>346</v>
      </c>
      <c r="R22" s="9"/>
      <c r="S22" s="9"/>
    </row>
    <row r="23" spans="1:19" ht="14.25" customHeight="1" x14ac:dyDescent="0.35">
      <c r="A23" s="9" t="s">
        <v>379</v>
      </c>
      <c r="B23" s="9" t="s">
        <v>380</v>
      </c>
      <c r="C23" s="9" t="s">
        <v>381</v>
      </c>
      <c r="D23" s="9" t="s">
        <v>382</v>
      </c>
      <c r="E23" s="9" t="s">
        <v>207</v>
      </c>
      <c r="F23" s="9" t="s">
        <v>55</v>
      </c>
      <c r="G23" s="10" t="s">
        <v>26</v>
      </c>
      <c r="H23" s="9" t="s">
        <v>135</v>
      </c>
      <c r="I23" s="9" t="s">
        <v>383</v>
      </c>
      <c r="J23" s="9" t="s">
        <v>384</v>
      </c>
      <c r="K23" t="s">
        <v>59</v>
      </c>
      <c r="L23" s="9" t="s">
        <v>60</v>
      </c>
      <c r="M23" s="11" t="s">
        <v>385</v>
      </c>
      <c r="N23" s="9" t="s">
        <v>386</v>
      </c>
      <c r="O23" s="9" t="s">
        <v>47</v>
      </c>
      <c r="P23" s="9" t="s">
        <v>387</v>
      </c>
      <c r="Q23" s="16" t="s">
        <v>346</v>
      </c>
      <c r="R23" s="9"/>
      <c r="S23" s="9"/>
    </row>
    <row r="24" spans="1:19" ht="14.25" customHeight="1" x14ac:dyDescent="0.35">
      <c r="A24" s="8" t="s">
        <v>388</v>
      </c>
      <c r="B24" s="9" t="s">
        <v>143</v>
      </c>
      <c r="C24" s="9" t="s">
        <v>389</v>
      </c>
      <c r="D24" s="9" t="s">
        <v>390</v>
      </c>
      <c r="E24" s="9" t="s">
        <v>391</v>
      </c>
      <c r="F24" s="9" t="s">
        <v>25</v>
      </c>
      <c r="G24" s="10" t="s">
        <v>26</v>
      </c>
      <c r="H24" s="9" t="s">
        <v>27</v>
      </c>
      <c r="I24" s="9" t="s">
        <v>98</v>
      </c>
      <c r="J24" s="9" t="s">
        <v>228</v>
      </c>
      <c r="K24" t="s">
        <v>392</v>
      </c>
      <c r="L24" s="9" t="s">
        <v>60</v>
      </c>
      <c r="M24" s="11" t="s">
        <v>393</v>
      </c>
      <c r="N24" s="9" t="s">
        <v>33</v>
      </c>
      <c r="O24" s="9" t="s">
        <v>394</v>
      </c>
      <c r="P24" s="9" t="s">
        <v>395</v>
      </c>
      <c r="Q24" s="16" t="s">
        <v>346</v>
      </c>
      <c r="R24" s="18"/>
      <c r="S24" s="9" t="s">
        <v>396</v>
      </c>
    </row>
    <row r="25" spans="1:19" ht="14.25" customHeight="1" x14ac:dyDescent="0.35"/>
    <row r="26" spans="1:19" ht="14.25" customHeight="1" x14ac:dyDescent="0.35"/>
    <row r="27" spans="1:19" ht="14.25" customHeight="1" x14ac:dyDescent="0.35"/>
    <row r="28" spans="1:19" ht="14.25" customHeight="1" x14ac:dyDescent="0.35"/>
    <row r="29" spans="1:19" ht="14.25" customHeight="1" x14ac:dyDescent="0.35"/>
    <row r="30" spans="1:19" ht="14.25" customHeight="1" x14ac:dyDescent="0.35"/>
    <row r="31" spans="1:19" ht="14.25" customHeight="1" x14ac:dyDescent="0.35"/>
  </sheetData>
  <mergeCells count="1">
    <mergeCell ref="A1:S1"/>
  </mergeCells>
  <dataValidations count="3">
    <dataValidation type="list" allowBlank="1" sqref="L3:L1005" xr:uid="{00000000-0002-0000-0400-000000000000}">
      <formula1>"PASS,FLAG,PASS TO KANVESH,PASS TO MADDY,FAIL,NEEDS VICTORIA INPUT"</formula1>
      <formula2>0</formula2>
    </dataValidation>
    <dataValidation type="list" allowBlank="1" sqref="M3:M1005" xr:uid="{00000000-0002-0000-0400-000001000000}">
      <formula1>"HIGH,MED,LOW,UNVERIFIED,N/A"</formula1>
      <formula2>0</formula2>
    </dataValidation>
    <dataValidation type="list" allowBlank="1" sqref="N3:N1005" xr:uid="{00000000-0002-0000-0400-000002000000}">
      <formula1>"Direct Procurement,Framework Entry Bid,Framework Call-off (BLOCKED),Unconfirmed"</formula1>
      <formula2>0</formula2>
    </dataValidation>
  </dataValidations>
  <hyperlinks>
    <hyperlink ref="G3" r:id="rId1" xr:uid="{00000000-0004-0000-0400-000000000000}"/>
    <hyperlink ref="G4" r:id="rId2" xr:uid="{00000000-0004-0000-0400-000001000000}"/>
    <hyperlink ref="G5" r:id="rId3" xr:uid="{00000000-0004-0000-0400-000002000000}"/>
    <hyperlink ref="G6" r:id="rId4" xr:uid="{00000000-0004-0000-0400-000003000000}"/>
    <hyperlink ref="G7" r:id="rId5" xr:uid="{00000000-0004-0000-0400-000004000000}"/>
    <hyperlink ref="G8" r:id="rId6" xr:uid="{00000000-0004-0000-0400-000005000000}"/>
    <hyperlink ref="G9" r:id="rId7" xr:uid="{00000000-0004-0000-0400-000006000000}"/>
    <hyperlink ref="G10" r:id="rId8" xr:uid="{00000000-0004-0000-0400-000007000000}"/>
    <hyperlink ref="G11" r:id="rId9" xr:uid="{00000000-0004-0000-0400-000008000000}"/>
    <hyperlink ref="G12" r:id="rId10" xr:uid="{00000000-0004-0000-0400-000009000000}"/>
    <hyperlink ref="G13" r:id="rId11" xr:uid="{00000000-0004-0000-0400-00000A000000}"/>
    <hyperlink ref="G14" r:id="rId12" xr:uid="{00000000-0004-0000-0400-00000B000000}"/>
    <hyperlink ref="G15" r:id="rId13" xr:uid="{00000000-0004-0000-0400-00000C000000}"/>
    <hyperlink ref="G16" r:id="rId14" xr:uid="{00000000-0004-0000-0400-00000D000000}"/>
    <hyperlink ref="G17" r:id="rId15" xr:uid="{00000000-0004-0000-0400-00000E000000}"/>
    <hyperlink ref="G18" r:id="rId16" xr:uid="{00000000-0004-0000-0400-00000F000000}"/>
    <hyperlink ref="G19" r:id="rId17" xr:uid="{00000000-0004-0000-0400-000010000000}"/>
    <hyperlink ref="G20" r:id="rId18" xr:uid="{00000000-0004-0000-0400-000011000000}"/>
    <hyperlink ref="G21" r:id="rId19" xr:uid="{00000000-0004-0000-0400-000012000000}"/>
    <hyperlink ref="G22" r:id="rId20" xr:uid="{00000000-0004-0000-0400-000013000000}"/>
    <hyperlink ref="G23" r:id="rId21" xr:uid="{00000000-0004-0000-0400-000014000000}"/>
    <hyperlink ref="G24" r:id="rId22" xr:uid="{00000000-0004-0000-0400-000015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0"/>
  <sheetViews>
    <sheetView zoomScaleNormal="100" workbookViewId="0"/>
  </sheetViews>
  <sheetFormatPr defaultColWidth="8.6328125" defaultRowHeight="14.5" x14ac:dyDescent="0.35"/>
  <cols>
    <col min="1" max="1" width="12" customWidth="1"/>
    <col min="2" max="2" width="38" customWidth="1"/>
    <col min="3" max="3" width="28" customWidth="1"/>
    <col min="4" max="4" width="55" customWidth="1"/>
  </cols>
  <sheetData>
    <row r="1" spans="1:4" ht="24" customHeight="1" x14ac:dyDescent="0.35">
      <c r="A1" s="31" t="s">
        <v>397</v>
      </c>
      <c r="B1" s="32"/>
      <c r="C1" s="32"/>
      <c r="D1" s="32"/>
    </row>
    <row r="3" spans="1:4" ht="15" customHeight="1" x14ac:dyDescent="0.35">
      <c r="A3" s="19" t="s">
        <v>398</v>
      </c>
      <c r="B3" s="19" t="s">
        <v>399</v>
      </c>
      <c r="C3" s="19" t="s">
        <v>400</v>
      </c>
      <c r="D3" s="19" t="s">
        <v>401</v>
      </c>
    </row>
    <row r="4" spans="1:4" ht="48" customHeight="1" x14ac:dyDescent="0.35">
      <c r="A4" s="20" t="s">
        <v>402</v>
      </c>
      <c r="B4" s="20" t="s">
        <v>403</v>
      </c>
      <c r="C4" s="20" t="s">
        <v>404</v>
      </c>
      <c r="D4" s="20" t="s">
        <v>405</v>
      </c>
    </row>
    <row r="5" spans="1:4" ht="48" customHeight="1" x14ac:dyDescent="0.35">
      <c r="A5" s="21" t="s">
        <v>406</v>
      </c>
      <c r="B5" s="21" t="s">
        <v>407</v>
      </c>
      <c r="C5" s="21" t="s">
        <v>408</v>
      </c>
      <c r="D5" s="21" t="s">
        <v>409</v>
      </c>
    </row>
    <row r="6" spans="1:4" ht="48" customHeight="1" x14ac:dyDescent="0.35">
      <c r="A6" s="20" t="s">
        <v>406</v>
      </c>
      <c r="B6" s="20" t="s">
        <v>410</v>
      </c>
      <c r="C6" s="20" t="s">
        <v>411</v>
      </c>
      <c r="D6" s="20" t="s">
        <v>412</v>
      </c>
    </row>
    <row r="7" spans="1:4" ht="48" customHeight="1" x14ac:dyDescent="0.35">
      <c r="A7" s="21" t="s">
        <v>413</v>
      </c>
      <c r="B7" s="21" t="s">
        <v>414</v>
      </c>
      <c r="C7" s="21" t="s">
        <v>415</v>
      </c>
      <c r="D7" s="21" t="s">
        <v>416</v>
      </c>
    </row>
    <row r="8" spans="1:4" ht="48" customHeight="1" x14ac:dyDescent="0.35">
      <c r="A8" s="20" t="s">
        <v>417</v>
      </c>
      <c r="B8" s="20" t="s">
        <v>418</v>
      </c>
      <c r="C8" s="20" t="s">
        <v>419</v>
      </c>
      <c r="D8" s="20" t="s">
        <v>420</v>
      </c>
    </row>
    <row r="9" spans="1:4" ht="48" customHeight="1" x14ac:dyDescent="0.35">
      <c r="A9" s="21" t="s">
        <v>417</v>
      </c>
      <c r="B9" s="21" t="s">
        <v>421</v>
      </c>
      <c r="C9" s="21" t="s">
        <v>422</v>
      </c>
      <c r="D9" s="21" t="s">
        <v>423</v>
      </c>
    </row>
    <row r="12" spans="1:4" ht="15" customHeight="1" x14ac:dyDescent="0.35">
      <c r="A12" s="22" t="s">
        <v>424</v>
      </c>
    </row>
    <row r="13" spans="1:4" ht="31.5" customHeight="1" x14ac:dyDescent="0.35">
      <c r="A13" s="23" t="s">
        <v>425</v>
      </c>
      <c r="B13" s="34" t="s">
        <v>426</v>
      </c>
      <c r="C13" s="32"/>
      <c r="D13" s="32"/>
    </row>
    <row r="14" spans="1:4" ht="31.5" customHeight="1" x14ac:dyDescent="0.35">
      <c r="A14" s="23" t="s">
        <v>427</v>
      </c>
      <c r="B14" s="34" t="s">
        <v>428</v>
      </c>
      <c r="C14" s="32"/>
      <c r="D14" s="32"/>
    </row>
    <row r="15" spans="1:4" ht="31.5" customHeight="1" x14ac:dyDescent="0.35">
      <c r="A15" s="23" t="s">
        <v>429</v>
      </c>
      <c r="B15" s="34" t="s">
        <v>430</v>
      </c>
      <c r="C15" s="32"/>
      <c r="D15" s="32"/>
    </row>
    <row r="16" spans="1:4" ht="31.5" customHeight="1" x14ac:dyDescent="0.35">
      <c r="A16" s="23" t="s">
        <v>431</v>
      </c>
      <c r="B16" s="34" t="s">
        <v>432</v>
      </c>
      <c r="C16" s="32"/>
      <c r="D16" s="32"/>
    </row>
    <row r="17" spans="1:4" ht="31.5" customHeight="1" x14ac:dyDescent="0.35">
      <c r="A17" s="23" t="s">
        <v>433</v>
      </c>
      <c r="B17" s="34" t="s">
        <v>434</v>
      </c>
      <c r="C17" s="32"/>
      <c r="D17" s="32"/>
    </row>
    <row r="18" spans="1:4" ht="31.5" customHeight="1" x14ac:dyDescent="0.35">
      <c r="A18" s="23" t="s">
        <v>435</v>
      </c>
      <c r="B18" s="34" t="s">
        <v>436</v>
      </c>
      <c r="C18" s="32"/>
      <c r="D18" s="32"/>
    </row>
    <row r="20" spans="1:4" ht="15" customHeight="1" x14ac:dyDescent="0.35">
      <c r="A20" s="33" t="s">
        <v>186</v>
      </c>
      <c r="B20" s="32"/>
      <c r="C20" s="32"/>
      <c r="D20" s="32"/>
    </row>
  </sheetData>
  <mergeCells count="8">
    <mergeCell ref="A1:D1"/>
    <mergeCell ref="B14:D14"/>
    <mergeCell ref="A20:D20"/>
    <mergeCell ref="B17:D17"/>
    <mergeCell ref="B18:D18"/>
    <mergeCell ref="B13:D13"/>
    <mergeCell ref="B15:D15"/>
    <mergeCell ref="B16:D1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7"/>
  <sheetViews>
    <sheetView zoomScaleNormal="100" workbookViewId="0">
      <pane ySplit="3" topLeftCell="A4" activePane="bottomLeft" state="frozen"/>
      <selection pane="bottomLeft"/>
    </sheetView>
  </sheetViews>
  <sheetFormatPr defaultColWidth="8.6328125" defaultRowHeight="14.5" x14ac:dyDescent="0.35"/>
  <cols>
    <col min="1" max="1" width="20" customWidth="1"/>
    <col min="3" max="3" width="32" customWidth="1"/>
    <col min="4" max="4" width="20" customWidth="1"/>
    <col min="16" max="16" width="34" customWidth="1"/>
    <col min="17" max="17" width="20" customWidth="1"/>
    <col min="19" max="19" width="34" customWidth="1"/>
  </cols>
  <sheetData>
    <row r="1" spans="1:19" ht="15.75" customHeight="1" x14ac:dyDescent="0.35">
      <c r="A1" s="1" t="s">
        <v>437</v>
      </c>
    </row>
    <row r="2" spans="1:19" ht="63.75" customHeight="1" x14ac:dyDescent="0.35">
      <c r="A2" s="7" t="s">
        <v>1</v>
      </c>
      <c r="B2" s="7" t="s">
        <v>2</v>
      </c>
      <c r="C2" s="7"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row>
    <row r="3" spans="1:19" ht="15" customHeight="1" x14ac:dyDescent="0.35">
      <c r="A3" s="9" t="s">
        <v>438</v>
      </c>
      <c r="B3" s="9"/>
      <c r="C3" s="9" t="s">
        <v>439</v>
      </c>
      <c r="D3" s="9" t="s">
        <v>440</v>
      </c>
      <c r="E3" s="9" t="s">
        <v>441</v>
      </c>
      <c r="F3" s="9" t="s">
        <v>442</v>
      </c>
      <c r="G3" s="9" t="s">
        <v>443</v>
      </c>
      <c r="H3" s="9" t="s">
        <v>27</v>
      </c>
      <c r="I3" s="9" t="s">
        <v>444</v>
      </c>
      <c r="J3" s="9"/>
      <c r="K3" s="9" t="s">
        <v>445</v>
      </c>
      <c r="L3" s="9" t="s">
        <v>446</v>
      </c>
      <c r="M3" s="9" t="s">
        <v>447</v>
      </c>
      <c r="N3" s="9" t="s">
        <v>214</v>
      </c>
      <c r="O3" s="9"/>
      <c r="P3" s="9" t="s">
        <v>448</v>
      </c>
      <c r="Q3" s="9" t="s">
        <v>449</v>
      </c>
      <c r="R3" s="9"/>
      <c r="S3" s="9"/>
    </row>
    <row r="4" spans="1:19" ht="15" customHeight="1" x14ac:dyDescent="0.35">
      <c r="A4" s="9" t="s">
        <v>450</v>
      </c>
      <c r="B4" s="9"/>
      <c r="C4" s="9" t="s">
        <v>451</v>
      </c>
      <c r="D4" s="9" t="s">
        <v>452</v>
      </c>
      <c r="E4" s="9" t="s">
        <v>153</v>
      </c>
      <c r="F4" s="9" t="s">
        <v>453</v>
      </c>
      <c r="G4" s="9" t="s">
        <v>443</v>
      </c>
      <c r="H4" s="9" t="s">
        <v>27</v>
      </c>
      <c r="I4" s="9" t="s">
        <v>43</v>
      </c>
      <c r="J4" s="9"/>
      <c r="K4" s="9" t="s">
        <v>454</v>
      </c>
      <c r="L4" s="9" t="s">
        <v>446</v>
      </c>
      <c r="M4" s="9" t="s">
        <v>447</v>
      </c>
      <c r="N4" s="9" t="s">
        <v>214</v>
      </c>
      <c r="O4" s="9"/>
      <c r="P4" s="9" t="s">
        <v>455</v>
      </c>
      <c r="Q4" s="9" t="s">
        <v>449</v>
      </c>
      <c r="R4" s="9"/>
      <c r="S4" s="9"/>
    </row>
    <row r="5" spans="1:19" ht="15" customHeight="1" x14ac:dyDescent="0.35">
      <c r="A5" s="9" t="s">
        <v>456</v>
      </c>
      <c r="B5" s="9"/>
      <c r="C5" s="9" t="s">
        <v>457</v>
      </c>
      <c r="D5" s="9" t="s">
        <v>440</v>
      </c>
      <c r="E5" s="9" t="s">
        <v>441</v>
      </c>
      <c r="F5" s="9" t="s">
        <v>442</v>
      </c>
      <c r="G5" s="9" t="s">
        <v>443</v>
      </c>
      <c r="H5" s="9" t="s">
        <v>458</v>
      </c>
      <c r="I5" s="9" t="s">
        <v>459</v>
      </c>
      <c r="J5" s="9"/>
      <c r="K5" s="9" t="s">
        <v>460</v>
      </c>
      <c r="L5" s="9" t="s">
        <v>446</v>
      </c>
      <c r="M5" s="9" t="s">
        <v>447</v>
      </c>
      <c r="N5" s="9" t="s">
        <v>214</v>
      </c>
      <c r="O5" s="9"/>
      <c r="P5" s="9" t="s">
        <v>461</v>
      </c>
      <c r="Q5" s="9" t="s">
        <v>449</v>
      </c>
      <c r="R5" s="9"/>
      <c r="S5" s="9"/>
    </row>
    <row r="6" spans="1:19" ht="14.25" customHeight="1" x14ac:dyDescent="0.35">
      <c r="A6" s="9" t="s">
        <v>462</v>
      </c>
      <c r="B6" s="9" t="s">
        <v>355</v>
      </c>
      <c r="C6" s="9" t="s">
        <v>463</v>
      </c>
      <c r="D6" s="9" t="s">
        <v>464</v>
      </c>
      <c r="E6" s="9" t="s">
        <v>465</v>
      </c>
      <c r="F6" s="9" t="s">
        <v>466</v>
      </c>
      <c r="G6" s="9" t="s">
        <v>467</v>
      </c>
      <c r="H6" s="9" t="s">
        <v>468</v>
      </c>
      <c r="I6" s="9" t="s">
        <v>469</v>
      </c>
      <c r="J6" s="9" t="s">
        <v>470</v>
      </c>
      <c r="K6" s="9" t="s">
        <v>445</v>
      </c>
      <c r="L6" s="9" t="s">
        <v>446</v>
      </c>
      <c r="M6" s="9" t="s">
        <v>447</v>
      </c>
      <c r="N6" s="9" t="s">
        <v>214</v>
      </c>
      <c r="O6" s="9"/>
      <c r="P6" s="9" t="s">
        <v>471</v>
      </c>
      <c r="Q6" s="9" t="s">
        <v>472</v>
      </c>
      <c r="R6" s="9"/>
      <c r="S6" s="9"/>
    </row>
    <row r="7" spans="1:19" ht="14.25" customHeight="1" x14ac:dyDescent="0.35">
      <c r="A7" s="9" t="s">
        <v>473</v>
      </c>
      <c r="B7" s="9" t="s">
        <v>111</v>
      </c>
      <c r="C7" s="9" t="s">
        <v>474</v>
      </c>
      <c r="D7" s="9" t="s">
        <v>475</v>
      </c>
      <c r="E7" s="9" t="s">
        <v>476</v>
      </c>
      <c r="F7" s="9" t="s">
        <v>466</v>
      </c>
      <c r="G7" s="9" t="s">
        <v>467</v>
      </c>
      <c r="H7" s="9" t="s">
        <v>468</v>
      </c>
      <c r="I7" s="9" t="s">
        <v>291</v>
      </c>
      <c r="J7" s="9" t="s">
        <v>477</v>
      </c>
      <c r="K7" s="9" t="s">
        <v>291</v>
      </c>
      <c r="L7" s="9" t="s">
        <v>446</v>
      </c>
      <c r="M7" s="9" t="s">
        <v>447</v>
      </c>
      <c r="N7" s="9" t="s">
        <v>214</v>
      </c>
      <c r="O7" s="9"/>
      <c r="P7" s="9" t="s">
        <v>478</v>
      </c>
      <c r="Q7" s="9" t="s">
        <v>472</v>
      </c>
      <c r="R7" s="9"/>
      <c r="S7" s="9"/>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8"/>
  <sheetViews>
    <sheetView zoomScaleNormal="100" workbookViewId="0">
      <pane ySplit="3" topLeftCell="A4" activePane="bottomLeft" state="frozen"/>
      <selection pane="bottomLeft"/>
    </sheetView>
  </sheetViews>
  <sheetFormatPr defaultColWidth="8.6328125" defaultRowHeight="14.5" x14ac:dyDescent="0.35"/>
  <cols>
    <col min="1" max="1" width="20" customWidth="1"/>
    <col min="3" max="3" width="32" customWidth="1"/>
    <col min="4" max="4" width="20" customWidth="1"/>
    <col min="16" max="16" width="34" customWidth="1"/>
    <col min="17" max="17" width="20" customWidth="1"/>
    <col min="19" max="19" width="34" customWidth="1"/>
  </cols>
  <sheetData>
    <row r="1" spans="1:19" ht="15.75" customHeight="1" x14ac:dyDescent="0.35">
      <c r="A1" s="1" t="s">
        <v>479</v>
      </c>
    </row>
    <row r="2" spans="1:19" ht="63.75" customHeight="1" x14ac:dyDescent="0.35">
      <c r="A2" s="7" t="s">
        <v>1</v>
      </c>
      <c r="B2" s="7" t="s">
        <v>2</v>
      </c>
      <c r="C2" s="7"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row>
    <row r="3" spans="1:19" ht="95.25" customHeight="1" x14ac:dyDescent="0.35"/>
    <row r="4" spans="1:19" ht="53.25" customHeight="1" x14ac:dyDescent="0.35"/>
    <row r="5" spans="1:19" ht="74.25" customHeight="1" x14ac:dyDescent="0.35"/>
    <row r="6" spans="1:19" ht="63.75" customHeight="1" x14ac:dyDescent="0.35"/>
    <row r="7" spans="1:19" ht="53.25" customHeight="1" x14ac:dyDescent="0.35"/>
    <row r="8" spans="1:19" ht="105.75" customHeight="1" x14ac:dyDescent="0.35"/>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
  <sheetViews>
    <sheetView topLeftCell="A2" zoomScaleNormal="100" workbookViewId="0">
      <selection activeCell="B2" sqref="B2"/>
    </sheetView>
  </sheetViews>
  <sheetFormatPr defaultColWidth="8.6328125" defaultRowHeight="14.5" x14ac:dyDescent="0.35"/>
  <cols>
    <col min="2" max="2" width="78.36328125" customWidth="1"/>
  </cols>
  <sheetData>
    <row r="2" spans="2:2" ht="144.75" customHeight="1" x14ac:dyDescent="0.35">
      <c r="B2" s="24" t="s">
        <v>480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Master Summary</vt:lpstr>
      <vt:lpstr>Understand the Spreadsheet</vt:lpstr>
      <vt:lpstr>Pass</vt:lpstr>
      <vt:lpstr>Flag</vt:lpstr>
      <vt:lpstr>Fail</vt:lpstr>
      <vt:lpstr>How to Use</vt:lpstr>
      <vt:lpstr>Pass to Kanvesh</vt:lpstr>
      <vt:lpstr>Pass to NHS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 Leon, Mark Joseph</cp:lastModifiedBy>
  <cp:revision>0</cp:revision>
  <dcterms:created xsi:type="dcterms:W3CDTF">2026-07-14T06:27:48Z</dcterms:created>
  <dcterms:modified xsi:type="dcterms:W3CDTF">2026-08-07T10:49:44Z</dcterms:modified>
  <dc:language>en-US</dc:language>
</cp:coreProperties>
</file>